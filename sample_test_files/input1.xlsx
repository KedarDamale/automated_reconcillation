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chaseRegister" sheetId="1" r:id="rId4"/>
  </sheets>
  <definedNames>
    <definedName name="G2B_Key_NoDate">IF(#REF!="","",UPPER(TRIM(#REF!))&amp;"-"&amp;UPPER(TRIM(#REF!)))</definedName>
    <definedName name="PR_Key_NoDate">IF(PurchaseRegister!$B$2:$B$1001="","",UPPER(TRIM(PurchaseRegister!$B$2:$B$1001))&amp;"-"&amp;UPPER(TRIM(PurchaseRegister!$C$2:$C$1001)))</definedName>
    <definedName name="PR_Key">PurchaseRegister!$L$2:$L$1001</definedName>
    <definedName name="G2B_HSN">#REF!</definedName>
    <definedName name="G2B_Date">#REF!</definedName>
    <definedName name="PR_GST">PurchaseRegister!$J$2:$J$1001</definedName>
    <definedName name="PR_Taxable">PurchaseRegister!$F$2:$F$1001</definedName>
    <definedName name="PR_GSTIN">PurchaseRegister!$B$2:$B$1001</definedName>
    <definedName name="PR_HSN">PurchaseRegister!$E$2:$E$1001</definedName>
    <definedName name="G2B_GST">#REF!</definedName>
    <definedName name="G2B_Key">#REF!</definedName>
    <definedName name="G2B_GSTIN">#REF!</definedName>
    <definedName name="HSN_Code">#REF!</definedName>
    <definedName name="PR_Supp">PurchaseRegister!$A$2:$A$1001</definedName>
    <definedName name="G2B_Supp">#REF!</definedName>
    <definedName name="PR_Date">PurchaseRegister!$D$2:$D$1001</definedName>
    <definedName name="HSN_Rate">#REF!</definedName>
    <definedName name="PR_InvNo">PurchaseRegister!$C$2:$C$1001</definedName>
    <definedName name="G2B_InvNo">#REF!</definedName>
    <definedName name="G2B_Taxable">#REF!</definedName>
    <definedName hidden="1" localSheetId="0" name="_xlnm._FilterDatabase">PurchaseRegister!$A$1:$P$1001</definedName>
  </definedNames>
  <calcPr/>
  <extLst>
    <ext uri="GoogleSheetsCustomDataVersion2">
      <go:sheetsCustomData xmlns:go="http://customooxmlschemas.google.com/" r:id="rId5" roundtripDataChecksum="DLkzH66SSpUDyIuhlUNvMy8CV3AN/DAPU6ccGx+F6rg="/>
    </ext>
  </extLst>
</workbook>
</file>

<file path=xl/sharedStrings.xml><?xml version="1.0" encoding="utf-8"?>
<sst xmlns="http://schemas.openxmlformats.org/spreadsheetml/2006/main" count="1670" uniqueCount="789">
  <si>
    <t>Supplier Name</t>
  </si>
  <si>
    <t>GSTIN</t>
  </si>
  <si>
    <t>Invoice No</t>
  </si>
  <si>
    <t>Invoice Date</t>
  </si>
  <si>
    <t>HSN Code (optional)</t>
  </si>
  <si>
    <t>Taxable Value</t>
  </si>
  <si>
    <t>IGST</t>
  </si>
  <si>
    <t>CGST</t>
  </si>
  <si>
    <t>SGST</t>
  </si>
  <si>
    <t>Total GST</t>
  </si>
  <si>
    <t>Place of Supply</t>
  </si>
  <si>
    <t>Unique Key</t>
  </si>
  <si>
    <t>Rate Check (%)</t>
  </si>
  <si>
    <t>Auto Remarks</t>
  </si>
  <si>
    <t>HSN Std Rate (%)</t>
  </si>
  <si>
    <t>HSN Rate Mismatch?</t>
  </si>
  <si>
    <t>Shah &amp; Co. Jaliwala</t>
  </si>
  <si>
    <t>27AAMFS8359L1Z9</t>
  </si>
  <si>
    <t>26/08/2025</t>
  </si>
  <si>
    <t>Manibhadra Electricals Pvt. Ltd.</t>
  </si>
  <si>
    <t>27AADCM2739E1ZL</t>
  </si>
  <si>
    <t>MEPL/00012/24-25</t>
  </si>
  <si>
    <t>Smith Engineering Company</t>
  </si>
  <si>
    <t>27AABFS2833A1ZO</t>
  </si>
  <si>
    <t>SLSLM-00028</t>
  </si>
  <si>
    <t>Purnima Metal Treat</t>
  </si>
  <si>
    <t>27ADJPV3549B2ZC</t>
  </si>
  <si>
    <t>05/24-25</t>
  </si>
  <si>
    <t>VR Prime Traders</t>
  </si>
  <si>
    <t>VVXF-52</t>
  </si>
  <si>
    <t>M.A.Enterprises</t>
  </si>
  <si>
    <t>BOM-2</t>
  </si>
  <si>
    <t>Bhumi Associates</t>
  </si>
  <si>
    <t>27ALLPP4407E1Z3</t>
  </si>
  <si>
    <t>M/BW/24-25/580</t>
  </si>
  <si>
    <t>Perfect Engineering Industries</t>
  </si>
  <si>
    <t>27AATPW4996L1ZA</t>
  </si>
  <si>
    <t>3264</t>
  </si>
  <si>
    <t>Viha Traders</t>
  </si>
  <si>
    <t>27AOVPP9192F2Z0</t>
  </si>
  <si>
    <t>243</t>
  </si>
  <si>
    <t>Asiatic Gases Limited</t>
  </si>
  <si>
    <t>27AACCA4768Q1Z0</t>
  </si>
  <si>
    <t>21</t>
  </si>
  <si>
    <t>Krishna Power Transmission</t>
  </si>
  <si>
    <t>27BAEPA9590G1ZL</t>
  </si>
  <si>
    <t>BWND/24-25/50</t>
  </si>
  <si>
    <t>Manilal Sanghvi (Bombay)</t>
  </si>
  <si>
    <t>27AAAFM2359N1ZZ</t>
  </si>
  <si>
    <t>7692</t>
  </si>
  <si>
    <t>Jatin Engineering Co.</t>
  </si>
  <si>
    <t>27AAPPS9140J1Z0</t>
  </si>
  <si>
    <t>16/2024-25</t>
  </si>
  <si>
    <t>Premier Products</t>
  </si>
  <si>
    <t>27AHKPJ4662N1ZR</t>
  </si>
  <si>
    <t>PP/0014/24-25</t>
  </si>
  <si>
    <t>Bharat Bijlee Limited</t>
  </si>
  <si>
    <t>27AAACB2900K1ZZ</t>
  </si>
  <si>
    <t>4320289695</t>
  </si>
  <si>
    <t>4320289698</t>
  </si>
  <si>
    <t>4320289699</t>
  </si>
  <si>
    <t>4320289700</t>
  </si>
  <si>
    <t>4320289701</t>
  </si>
  <si>
    <t>Lal Engineering Enterprises</t>
  </si>
  <si>
    <t>27AAHPN5227F1ZQ</t>
  </si>
  <si>
    <t>2</t>
  </si>
  <si>
    <t>Masrani Mill Gin Stores</t>
  </si>
  <si>
    <t>27AABFM0352J1ZH</t>
  </si>
  <si>
    <t>4/24-25</t>
  </si>
  <si>
    <t>R.K.Engineering Corporation</t>
  </si>
  <si>
    <t>27AAEFR8996A1ZU</t>
  </si>
  <si>
    <t>77/24-25</t>
  </si>
  <si>
    <t>6/24-25</t>
  </si>
  <si>
    <t>S.R.Enterprises</t>
  </si>
  <si>
    <t>27ADXFS5568H1Z4</t>
  </si>
  <si>
    <t>SRE/123/24-25</t>
  </si>
  <si>
    <t>K. Patel Associates</t>
  </si>
  <si>
    <t>27AAVFK8826F1ZP</t>
  </si>
  <si>
    <t>KPAS/24-25/142</t>
  </si>
  <si>
    <t>7703</t>
  </si>
  <si>
    <t>J.Industrial Products (I) Pvt. Ltd</t>
  </si>
  <si>
    <t>27AACCJ0242Q1ZE</t>
  </si>
  <si>
    <t>000226</t>
  </si>
  <si>
    <t>4320289851</t>
  </si>
  <si>
    <t>4320289899</t>
  </si>
  <si>
    <t>4320289900</t>
  </si>
  <si>
    <t>4320289852</t>
  </si>
  <si>
    <t>Akshay Sales Corporation</t>
  </si>
  <si>
    <t>27AIFPS4803C1ZG</t>
  </si>
  <si>
    <t>ASC/24-25/0134</t>
  </si>
  <si>
    <t>7/24-25</t>
  </si>
  <si>
    <t>S.K.Enterprise</t>
  </si>
  <si>
    <t>27AABPK4300Q12O</t>
  </si>
  <si>
    <t>01/24-25</t>
  </si>
  <si>
    <t>R D Patkar HP Gas Agency</t>
  </si>
  <si>
    <t>27ABSPP9163G1ZY</t>
  </si>
  <si>
    <t>23007</t>
  </si>
  <si>
    <t>Punaghar Mata Tool Centre</t>
  </si>
  <si>
    <t>27CBSPS4453E1Z6</t>
  </si>
  <si>
    <t>2024-25/APR031</t>
  </si>
  <si>
    <t>Lodha Supremus Thane Commercial Premises Co-Op Soci</t>
  </si>
  <si>
    <t>27AABAL3037E1ZZ</t>
  </si>
  <si>
    <t>FY23-24/069</t>
  </si>
  <si>
    <t>TCI Freight</t>
  </si>
  <si>
    <t>27AAACT7966R1ZB</t>
  </si>
  <si>
    <t>647847303</t>
  </si>
  <si>
    <t>51</t>
  </si>
  <si>
    <t>50</t>
  </si>
  <si>
    <t>Madan Sales Corporation</t>
  </si>
  <si>
    <t>27AAFFM4787K1ZO</t>
  </si>
  <si>
    <t>B177/24-25</t>
  </si>
  <si>
    <t>S M Enterprises</t>
  </si>
  <si>
    <t>27AAQPK2268J2Z7</t>
  </si>
  <si>
    <t>SM/59/24-25</t>
  </si>
  <si>
    <t>PP/0029/24-25</t>
  </si>
  <si>
    <t>162/24-25</t>
  </si>
  <si>
    <t>4320289992</t>
  </si>
  <si>
    <t>Perfect Asbestos &amp; Teflon Co</t>
  </si>
  <si>
    <t>27AAGPS6107E1ZR</t>
  </si>
  <si>
    <t>24-25/11</t>
  </si>
  <si>
    <t>7715</t>
  </si>
  <si>
    <t>11/24-25</t>
  </si>
  <si>
    <t>Sanghvi Brothers</t>
  </si>
  <si>
    <t>27ACLPS1646K1Z3</t>
  </si>
  <si>
    <t>49/24-25</t>
  </si>
  <si>
    <t>247</t>
  </si>
  <si>
    <t>Jai Malhar Steel Traders</t>
  </si>
  <si>
    <t>27AXPPJ7281A1ZB</t>
  </si>
  <si>
    <t>19</t>
  </si>
  <si>
    <t>Piyush Electricals</t>
  </si>
  <si>
    <t>27AIKPY6401D1Z5</t>
  </si>
  <si>
    <t>12</t>
  </si>
  <si>
    <t>Wiperdrive Industries</t>
  </si>
  <si>
    <t>27AADPS1585K1Z9</t>
  </si>
  <si>
    <t>24-25/W 0157</t>
  </si>
  <si>
    <t>7719</t>
  </si>
  <si>
    <t>175/24-25</t>
  </si>
  <si>
    <t>75</t>
  </si>
  <si>
    <t>252</t>
  </si>
  <si>
    <t>United Electricals &amp; Engineering</t>
  </si>
  <si>
    <t>27AAAFU1306P1Z2</t>
  </si>
  <si>
    <t>6962</t>
  </si>
  <si>
    <t>Bhavesh Fastners</t>
  </si>
  <si>
    <t>24ALXPP2922N1ZE</t>
  </si>
  <si>
    <t>35</t>
  </si>
  <si>
    <t>Shiv Associates</t>
  </si>
  <si>
    <t>27BCJPS9427F1Z4</t>
  </si>
  <si>
    <t>1812/24-25</t>
  </si>
  <si>
    <t>Anandi Specialities and Services Pvt. Ltd.</t>
  </si>
  <si>
    <t>27AAJCA9907C1ZN</t>
  </si>
  <si>
    <t>ASSPL/24-25/0027</t>
  </si>
  <si>
    <t>Super Bond Adhesives Pvt. Ltd.</t>
  </si>
  <si>
    <t>27AACCS3927P1ZT</t>
  </si>
  <si>
    <t>U1/24-25/0155</t>
  </si>
  <si>
    <t>Emco Engineering</t>
  </si>
  <si>
    <t>27AACFE6426A1ZW</t>
  </si>
  <si>
    <t>250059</t>
  </si>
  <si>
    <t>KPAS/24-25/318</t>
  </si>
  <si>
    <t>National Enterprise</t>
  </si>
  <si>
    <t>27AABPB2542F1ZC</t>
  </si>
  <si>
    <t>NE/24-25/0224</t>
  </si>
  <si>
    <t>3278</t>
  </si>
  <si>
    <t>BWND/24-25/141</t>
  </si>
  <si>
    <t>19/24-25</t>
  </si>
  <si>
    <t>18/24-25</t>
  </si>
  <si>
    <t>Milan Enterprises</t>
  </si>
  <si>
    <t>27AAPPH6742M2Z2</t>
  </si>
  <si>
    <t>ME/179/2024-25</t>
  </si>
  <si>
    <t>97</t>
  </si>
  <si>
    <t>Sangam Metal Industries</t>
  </si>
  <si>
    <t>27ADJPR1065Q1ZV</t>
  </si>
  <si>
    <t>SMI/069/24-25</t>
  </si>
  <si>
    <t>253</t>
  </si>
  <si>
    <t>4320290521</t>
  </si>
  <si>
    <t>4320290522</t>
  </si>
  <si>
    <t>4320290523</t>
  </si>
  <si>
    <t>4320290524</t>
  </si>
  <si>
    <t>4320290553</t>
  </si>
  <si>
    <t>4320290556</t>
  </si>
  <si>
    <t>CG Power and Industrial Solutions Limited</t>
  </si>
  <si>
    <t>27AAACC3840K1ZP</t>
  </si>
  <si>
    <t>424587429</t>
  </si>
  <si>
    <t>Hasmukhlal &amp; Brothers</t>
  </si>
  <si>
    <t>24AAGFH7170L1Z5</t>
  </si>
  <si>
    <t>GT/60</t>
  </si>
  <si>
    <t>374122717</t>
  </si>
  <si>
    <t>59/24-25</t>
  </si>
  <si>
    <t>Alpa Enterprises</t>
  </si>
  <si>
    <t>27AABPD5831H1Z0</t>
  </si>
  <si>
    <t>250107</t>
  </si>
  <si>
    <t>25</t>
  </si>
  <si>
    <t>24-25/29</t>
  </si>
  <si>
    <t>Anuvrat Industries</t>
  </si>
  <si>
    <t>27AAPPJ2040N1ZG</t>
  </si>
  <si>
    <t>169/2024-25</t>
  </si>
  <si>
    <t>Kalapuranam Industrial Traders</t>
  </si>
  <si>
    <t>27ACIPK1680N1Z6</t>
  </si>
  <si>
    <t>159/24-25</t>
  </si>
  <si>
    <t>SMI/079/24-25</t>
  </si>
  <si>
    <t>374123319</t>
  </si>
  <si>
    <t>647848342</t>
  </si>
  <si>
    <t>12/24-25</t>
  </si>
  <si>
    <t>Purohit Steel Company</t>
  </si>
  <si>
    <t>27AARFP2651D1Z5</t>
  </si>
  <si>
    <t>616/24-25</t>
  </si>
  <si>
    <t>R N D Welding</t>
  </si>
  <si>
    <t>27AAYFR6527R1ZW</t>
  </si>
  <si>
    <t>24-25-00426</t>
  </si>
  <si>
    <t>6979</t>
  </si>
  <si>
    <t>33</t>
  </si>
  <si>
    <t>7758</t>
  </si>
  <si>
    <t>29/24-25</t>
  </si>
  <si>
    <t>10</t>
  </si>
  <si>
    <t>4320291106</t>
  </si>
  <si>
    <t>4320291107</t>
  </si>
  <si>
    <t>4320291108</t>
  </si>
  <si>
    <t>4320291109</t>
  </si>
  <si>
    <t>4320291111</t>
  </si>
  <si>
    <t>4320291113</t>
  </si>
  <si>
    <t>4320291114</t>
  </si>
  <si>
    <t>424587514</t>
  </si>
  <si>
    <t>4320291115</t>
  </si>
  <si>
    <t>4320291116</t>
  </si>
  <si>
    <t>4320291124</t>
  </si>
  <si>
    <t>SMI/143/24-25</t>
  </si>
  <si>
    <t>Machine Tools (I) Agencies</t>
  </si>
  <si>
    <t>27AAFFM6083Q1ZJ</t>
  </si>
  <si>
    <t>1034</t>
  </si>
  <si>
    <t>6990</t>
  </si>
  <si>
    <t>K.K.Prosses</t>
  </si>
  <si>
    <t>27AADPN9795N1ZO</t>
  </si>
  <si>
    <t>106</t>
  </si>
  <si>
    <t>V Tech Solutions</t>
  </si>
  <si>
    <t>S114245242528</t>
  </si>
  <si>
    <t>C114245242512</t>
  </si>
  <si>
    <t>442/24-25</t>
  </si>
  <si>
    <t>24-25/W 0475</t>
  </si>
  <si>
    <t>Pratham Ispat</t>
  </si>
  <si>
    <t>24ABCFP6526F1ZE</t>
  </si>
  <si>
    <t>148</t>
  </si>
  <si>
    <t>4320291380</t>
  </si>
  <si>
    <t>4320291382</t>
  </si>
  <si>
    <t>4320291384</t>
  </si>
  <si>
    <t>4320291385</t>
  </si>
  <si>
    <t>4320291421</t>
  </si>
  <si>
    <t>4320291422</t>
  </si>
  <si>
    <t>195/24-25</t>
  </si>
  <si>
    <t>B567/24-25</t>
  </si>
  <si>
    <t>B568/24-25</t>
  </si>
  <si>
    <t>38</t>
  </si>
  <si>
    <t>Sonalika Metal Corporation</t>
  </si>
  <si>
    <t>27AIQPC0343L1Z7</t>
  </si>
  <si>
    <t>6289/24-25</t>
  </si>
  <si>
    <t>7772</t>
  </si>
  <si>
    <t>Deep Metallurgical Services</t>
  </si>
  <si>
    <t>27AAEFD6053A1ZW</t>
  </si>
  <si>
    <t>0212/24-25</t>
  </si>
  <si>
    <t>Champion Rolling Mill Pvt. Ltd</t>
  </si>
  <si>
    <t>27AACCC3441J1ZS</t>
  </si>
  <si>
    <t>ST/2425/0000393</t>
  </si>
  <si>
    <t>269</t>
  </si>
  <si>
    <t>2024-25/APR210</t>
  </si>
  <si>
    <t>BWND/24-25/262</t>
  </si>
  <si>
    <t>Airtel Relationship No. 7030895410</t>
  </si>
  <si>
    <t>27AAACB2894G1ZN</t>
  </si>
  <si>
    <t>HT2527I01009588</t>
  </si>
  <si>
    <t>108/24-25</t>
  </si>
  <si>
    <t>7775</t>
  </si>
  <si>
    <t>37/24-25</t>
  </si>
  <si>
    <t>Orange Electrodes Industries</t>
  </si>
  <si>
    <t>27AABFO0739M1Z2</t>
  </si>
  <si>
    <t>720</t>
  </si>
  <si>
    <t>2024-25/APR245</t>
  </si>
  <si>
    <t>Mould N Cast</t>
  </si>
  <si>
    <t>27AAOPS6151N1ZW</t>
  </si>
  <si>
    <t>37</t>
  </si>
  <si>
    <t>SLSLM-02481</t>
  </si>
  <si>
    <t>BWND/24-25/279</t>
  </si>
  <si>
    <t>Tig's &amp; Mig's Weld Pvt. Ltd.</t>
  </si>
  <si>
    <t>27AACCT8282C1Z9</t>
  </si>
  <si>
    <t>368/2024-25</t>
  </si>
  <si>
    <t>4320291811</t>
  </si>
  <si>
    <t>4320291812</t>
  </si>
  <si>
    <t>4320291813</t>
  </si>
  <si>
    <t>4320291814</t>
  </si>
  <si>
    <t>4320291816</t>
  </si>
  <si>
    <t>40/24-25</t>
  </si>
  <si>
    <t>Galaxy Air Products</t>
  </si>
  <si>
    <t>27AATFG0563F1Z9</t>
  </si>
  <si>
    <t>G-0030/24</t>
  </si>
  <si>
    <t>Yug Stationery Mart</t>
  </si>
  <si>
    <t>YSM106/24-25</t>
  </si>
  <si>
    <t>YSM107/24-25</t>
  </si>
  <si>
    <t>YSM108/24-25</t>
  </si>
  <si>
    <t>YSM109/24-25</t>
  </si>
  <si>
    <t>Pactel Care</t>
  </si>
  <si>
    <t>27AAVPM4700E1ZN</t>
  </si>
  <si>
    <t>PCT/32</t>
  </si>
  <si>
    <t>The Professional Couriers</t>
  </si>
  <si>
    <t>27AFGPS1163R1ZS</t>
  </si>
  <si>
    <t>WAG/00058/2024</t>
  </si>
  <si>
    <t>Vodafone Idea Ltd.</t>
  </si>
  <si>
    <t>27AAACB2100P1ZX</t>
  </si>
  <si>
    <t>MHSO090524449440</t>
  </si>
  <si>
    <t>Vivek Protection Services</t>
  </si>
  <si>
    <t>27EXUPS0582N1ZC</t>
  </si>
  <si>
    <t>471</t>
  </si>
  <si>
    <t>511/24-25</t>
  </si>
  <si>
    <t>519/24-25</t>
  </si>
  <si>
    <t>(cancelled )</t>
  </si>
  <si>
    <t>140</t>
  </si>
  <si>
    <t>274</t>
  </si>
  <si>
    <t>DSC/44/24-25</t>
  </si>
  <si>
    <t>Patson Testing Services Pvt. Ltd.</t>
  </si>
  <si>
    <t>27APJPP3633C1ZZ</t>
  </si>
  <si>
    <t>PTS/24-25/0440</t>
  </si>
  <si>
    <t>AB Solutions</t>
  </si>
  <si>
    <t>7787</t>
  </si>
  <si>
    <t>SLSLM-02671</t>
  </si>
  <si>
    <t>4320292131</t>
  </si>
  <si>
    <t>4320292133</t>
  </si>
  <si>
    <t>45/24-25</t>
  </si>
  <si>
    <t>Airtel Relationship No.7038291594</t>
  </si>
  <si>
    <t>HT2527I001152866</t>
  </si>
  <si>
    <t>SMI/195/24-25</t>
  </si>
  <si>
    <t>BWND/24-25/305</t>
  </si>
  <si>
    <t>UBT</t>
  </si>
  <si>
    <t>07AAFFU2544N1ZT</t>
  </si>
  <si>
    <t>EST/481</t>
  </si>
  <si>
    <t>BWND/24-25/317</t>
  </si>
  <si>
    <t>KPAS/24-25/990</t>
  </si>
  <si>
    <t>24-25-00688</t>
  </si>
  <si>
    <t>7792</t>
  </si>
  <si>
    <t>Deccan Mechanical &amp; Chemical Industries Pvt. Ltd.</t>
  </si>
  <si>
    <t>27AAACD7365G1ZL</t>
  </si>
  <si>
    <t>1RG2425-53</t>
  </si>
  <si>
    <t>Makharia Machineries Pvt. Ltd.</t>
  </si>
  <si>
    <t>27AAACM2855Q1ZY</t>
  </si>
  <si>
    <t>MH/1368/24-25</t>
  </si>
  <si>
    <t>47/24-25</t>
  </si>
  <si>
    <t>Avinash Cargo Pvt. Ltd.</t>
  </si>
  <si>
    <t>27AAEHA2018Q1Z9</t>
  </si>
  <si>
    <t>24186101838</t>
  </si>
  <si>
    <t>B I U M Industries Ltd.</t>
  </si>
  <si>
    <t>27AABCB1447J1ZS</t>
  </si>
  <si>
    <t>INV0204</t>
  </si>
  <si>
    <t>Super Sales &amp; Service</t>
  </si>
  <si>
    <t>27AFGPK5440M1Z6</t>
  </si>
  <si>
    <t>SS/00475/2024-25</t>
  </si>
  <si>
    <t>ESDEE Paints Ltd.</t>
  </si>
  <si>
    <t>27AAACE1378A1Z3</t>
  </si>
  <si>
    <t>GTU/466</t>
  </si>
  <si>
    <t>265/24-25</t>
  </si>
  <si>
    <t>250278</t>
  </si>
  <si>
    <t>424587899</t>
  </si>
  <si>
    <t>C. M. Tayabally Jaliwala</t>
  </si>
  <si>
    <t>27AADPJ1094L1ZK</t>
  </si>
  <si>
    <t>00100</t>
  </si>
  <si>
    <t>7803</t>
  </si>
  <si>
    <t>INV0212</t>
  </si>
  <si>
    <t>Amafhh Tools</t>
  </si>
  <si>
    <t>27ABLFA4613R1ZX</t>
  </si>
  <si>
    <t>6978</t>
  </si>
  <si>
    <t>SLSLM-03048</t>
  </si>
  <si>
    <t>6336/24-25</t>
  </si>
  <si>
    <t>278</t>
  </si>
  <si>
    <t>ME/549/2024-25</t>
  </si>
  <si>
    <t>635/24-25</t>
  </si>
  <si>
    <t>J.K.Machine Tools</t>
  </si>
  <si>
    <t>27ABJPB2065L1ZN</t>
  </si>
  <si>
    <t>JKMT/24-25/150</t>
  </si>
  <si>
    <t>YSM151/24-25</t>
  </si>
  <si>
    <t>7810</t>
  </si>
  <si>
    <t>KPAS/24-25/1130</t>
  </si>
  <si>
    <t>650/24-25</t>
  </si>
  <si>
    <t>7018</t>
  </si>
  <si>
    <t>183</t>
  </si>
  <si>
    <t>ASSPL/24-25/0115</t>
  </si>
  <si>
    <t>299/24-25</t>
  </si>
  <si>
    <t>61</t>
  </si>
  <si>
    <t>4320292830</t>
  </si>
  <si>
    <t>4320292832</t>
  </si>
  <si>
    <t>4320292833</t>
  </si>
  <si>
    <t>4320292837</t>
  </si>
  <si>
    <t>4320292838</t>
  </si>
  <si>
    <t>4320292840</t>
  </si>
  <si>
    <t>4320292842</t>
  </si>
  <si>
    <t>4320292843</t>
  </si>
  <si>
    <t>Steel Rolling Mill of Maharashtra</t>
  </si>
  <si>
    <t>27AAKFS9902P1ZC</t>
  </si>
  <si>
    <t>SALES/2425/0454</t>
  </si>
  <si>
    <t>Flexocon Engineers Private Limited</t>
  </si>
  <si>
    <t>19AABCF3057A1Z2</t>
  </si>
  <si>
    <t>FEPL/0164/24-25</t>
  </si>
  <si>
    <t>FEPL/0165/24-25</t>
  </si>
  <si>
    <t>4320292828</t>
  </si>
  <si>
    <t>4320292829</t>
  </si>
  <si>
    <t>4320292844</t>
  </si>
  <si>
    <t>4320292845</t>
  </si>
  <si>
    <t>4320292846</t>
  </si>
  <si>
    <t>4320292847</t>
  </si>
  <si>
    <t>PTS/24-25/0627</t>
  </si>
  <si>
    <t>147/24-25</t>
  </si>
  <si>
    <t>62</t>
  </si>
  <si>
    <t>KPAS/24-25/1188</t>
  </si>
  <si>
    <t>MEPL/01527/24-25</t>
  </si>
  <si>
    <t>MEPL/01528/24-25</t>
  </si>
  <si>
    <t>56/24-25</t>
  </si>
  <si>
    <t>MH/1717/24-25</t>
  </si>
  <si>
    <t>MH/1693/24-25</t>
  </si>
  <si>
    <t>250333</t>
  </si>
  <si>
    <t>BWND/24-25/379</t>
  </si>
  <si>
    <t>54/24-25</t>
  </si>
  <si>
    <t>1978/24-25</t>
  </si>
  <si>
    <t>699/24-25</t>
  </si>
  <si>
    <t>4320293063</t>
  </si>
  <si>
    <t>4320293066</t>
  </si>
  <si>
    <t>4320293079</t>
  </si>
  <si>
    <t>4320293082</t>
  </si>
  <si>
    <t>4320293083</t>
  </si>
  <si>
    <t>4320293084</t>
  </si>
  <si>
    <t>4320293085</t>
  </si>
  <si>
    <t>MH/1773/24-25</t>
  </si>
  <si>
    <t>Shree Ranisati Ingots Pvt. Ltd.</t>
  </si>
  <si>
    <t>27AAICS2744L1ZY</t>
  </si>
  <si>
    <t>138/2024-25</t>
  </si>
  <si>
    <t>7825</t>
  </si>
  <si>
    <t>316</t>
  </si>
  <si>
    <t>4320293071</t>
  </si>
  <si>
    <t>4320293073</t>
  </si>
  <si>
    <t>4320293075</t>
  </si>
  <si>
    <t>Bhawana Trading Company</t>
  </si>
  <si>
    <t>27ARCPS9021Q1Z4</t>
  </si>
  <si>
    <t>24-25/0228</t>
  </si>
  <si>
    <t>OP/498/24-25</t>
  </si>
  <si>
    <t>3319</t>
  </si>
  <si>
    <t>58/24-25</t>
  </si>
  <si>
    <t>250371</t>
  </si>
  <si>
    <t>60/24-25</t>
  </si>
  <si>
    <t>7028</t>
  </si>
  <si>
    <t>GT/226</t>
  </si>
  <si>
    <t>250372</t>
  </si>
  <si>
    <t>335</t>
  </si>
  <si>
    <t>4320293336</t>
  </si>
  <si>
    <t>424588037</t>
  </si>
  <si>
    <t>424588038</t>
  </si>
  <si>
    <t>424588039</t>
  </si>
  <si>
    <t>424588045</t>
  </si>
  <si>
    <t>SLSLM-03776</t>
  </si>
  <si>
    <t>4320293365</t>
  </si>
  <si>
    <t>4320293364</t>
  </si>
  <si>
    <t>The New Ball Bearing Co. LLP</t>
  </si>
  <si>
    <t>27AAAFT7708G1Z4</t>
  </si>
  <si>
    <t>250112488</t>
  </si>
  <si>
    <t>1RG2425-69</t>
  </si>
  <si>
    <t>Sudarshan Electricals India</t>
  </si>
  <si>
    <t>27AJLPJ5358G1ZX</t>
  </si>
  <si>
    <t>GR/91</t>
  </si>
  <si>
    <t>24186102519</t>
  </si>
  <si>
    <t>Pawan Marketing</t>
  </si>
  <si>
    <t>27AHHPD3176G1ZG</t>
  </si>
  <si>
    <t>24/25-1047</t>
  </si>
  <si>
    <t>1038/2024-25</t>
  </si>
  <si>
    <t>28/24-25</t>
  </si>
  <si>
    <t>355/24-25</t>
  </si>
  <si>
    <t>MH/2016/24-25</t>
  </si>
  <si>
    <t>4320293743</t>
  </si>
  <si>
    <t>4320293744</t>
  </si>
  <si>
    <t>4320293747</t>
  </si>
  <si>
    <t>4320293737</t>
  </si>
  <si>
    <t>4320293739</t>
  </si>
  <si>
    <t>4320293741</t>
  </si>
  <si>
    <t>68/24-25</t>
  </si>
  <si>
    <t>SS/00717/2024-25</t>
  </si>
  <si>
    <t>288</t>
  </si>
  <si>
    <t>4320293860</t>
  </si>
  <si>
    <t>4320293863</t>
  </si>
  <si>
    <t>4320293866</t>
  </si>
  <si>
    <t>4320293877</t>
  </si>
  <si>
    <t>28</t>
  </si>
  <si>
    <t>193/24-25</t>
  </si>
  <si>
    <t>647941976</t>
  </si>
  <si>
    <t>SRE/1612/24-25</t>
  </si>
  <si>
    <t>24-25/0299</t>
  </si>
  <si>
    <t>4320294176</t>
  </si>
  <si>
    <t>290</t>
  </si>
  <si>
    <t>391</t>
  </si>
  <si>
    <t>SMI/340/24-25</t>
  </si>
  <si>
    <t>4320294236</t>
  </si>
  <si>
    <t>250458</t>
  </si>
  <si>
    <t>2024-25/MAY303</t>
  </si>
  <si>
    <t>Nandigram Metal Industries</t>
  </si>
  <si>
    <t>27CITPA5056K1ZU</t>
  </si>
  <si>
    <t>NMI/24-25/0276</t>
  </si>
  <si>
    <t>SRE/1726/24-25</t>
  </si>
  <si>
    <t>HT2527I001980812</t>
  </si>
  <si>
    <t>294</t>
  </si>
  <si>
    <t>1094</t>
  </si>
  <si>
    <t>00162</t>
  </si>
  <si>
    <t>960/24-25</t>
  </si>
  <si>
    <t>BWND/24-25/484</t>
  </si>
  <si>
    <t>KPAS/24-25/1622</t>
  </si>
  <si>
    <t>1165/2024-25</t>
  </si>
  <si>
    <t>24/25-1252</t>
  </si>
  <si>
    <t>7062</t>
  </si>
  <si>
    <t>ME/827/2024-25</t>
  </si>
  <si>
    <t>SMI/352/24-25</t>
  </si>
  <si>
    <t>SRE/1836/24-25</t>
  </si>
  <si>
    <t>24-25/79</t>
  </si>
  <si>
    <t>647942702</t>
  </si>
  <si>
    <t>Associated Road Carriers Ltd</t>
  </si>
  <si>
    <t>27AACCA4861C2ZY</t>
  </si>
  <si>
    <t>A7001934433</t>
  </si>
  <si>
    <t>MEPL/02189/24-25</t>
  </si>
  <si>
    <t>4320294688</t>
  </si>
  <si>
    <t>458/24-25</t>
  </si>
  <si>
    <t>279</t>
  </si>
  <si>
    <t>Trimurti Safety Services</t>
  </si>
  <si>
    <t>27AAIPI1301A1ZL</t>
  </si>
  <si>
    <t>GST-0125</t>
  </si>
  <si>
    <t>G-0176/24</t>
  </si>
  <si>
    <t>SS/00860/2024-25</t>
  </si>
  <si>
    <t>Shree Gajanan Enterprises</t>
  </si>
  <si>
    <t>27AOEPT1552N1ZH</t>
  </si>
  <si>
    <t>034/24-25</t>
  </si>
  <si>
    <t>YSM239/24-25</t>
  </si>
  <si>
    <t>PCT/64</t>
  </si>
  <si>
    <t>4 Quadrant Solutions</t>
  </si>
  <si>
    <t>27AGTPM6010H2Z7</t>
  </si>
  <si>
    <t>4QS/0501492/24-25</t>
  </si>
  <si>
    <t>WAG/00132/2024</t>
  </si>
  <si>
    <t>TCI Express Ltd.</t>
  </si>
  <si>
    <t>27AADCT0663J1Z8</t>
  </si>
  <si>
    <t>1273415056</t>
  </si>
  <si>
    <t>1046/24-25</t>
  </si>
  <si>
    <t>June</t>
  </si>
  <si>
    <t>Kamlesh Engineering Works</t>
  </si>
  <si>
    <t>07AAGPA0308P1ZX</t>
  </si>
  <si>
    <t>02</t>
  </si>
  <si>
    <t>BWND/24-25/515</t>
  </si>
  <si>
    <t>BWND/24-25/516</t>
  </si>
  <si>
    <t>BWND/24-25/514</t>
  </si>
  <si>
    <t>Vinayak Oil Industries</t>
  </si>
  <si>
    <t>27AAAFV0069Q1ZP</t>
  </si>
  <si>
    <t>735</t>
  </si>
  <si>
    <t>4320294859</t>
  </si>
  <si>
    <t>4320294861</t>
  </si>
  <si>
    <t>4320294863</t>
  </si>
  <si>
    <t>4320294864</t>
  </si>
  <si>
    <t>4320294865</t>
  </si>
  <si>
    <t>4320294866</t>
  </si>
  <si>
    <t>4320294867</t>
  </si>
  <si>
    <t>4320294869</t>
  </si>
  <si>
    <t>4320294875</t>
  </si>
  <si>
    <t>4320294877</t>
  </si>
  <si>
    <t>4320294885</t>
  </si>
  <si>
    <t>PTS/24-25/0932</t>
  </si>
  <si>
    <t>MHSO090624475138</t>
  </si>
  <si>
    <t>647942794</t>
  </si>
  <si>
    <t>N6002673739</t>
  </si>
  <si>
    <t>483</t>
  </si>
  <si>
    <t>446</t>
  </si>
  <si>
    <t>VB Corporation North</t>
  </si>
  <si>
    <t>27EVIPP5570F1Z6</t>
  </si>
  <si>
    <t>4141</t>
  </si>
  <si>
    <t>ST/2425/0000985</t>
  </si>
  <si>
    <t>97/24-25</t>
  </si>
  <si>
    <t>39</t>
  </si>
  <si>
    <t>ME/898/2024-25</t>
  </si>
  <si>
    <t>HT2527I002135784</t>
  </si>
  <si>
    <t>647942886</t>
  </si>
  <si>
    <t>647942890</t>
  </si>
  <si>
    <t>466/24-25</t>
  </si>
  <si>
    <t>7879</t>
  </si>
  <si>
    <t>98/24-25</t>
  </si>
  <si>
    <t>250523</t>
  </si>
  <si>
    <t>7091</t>
  </si>
  <si>
    <t>24/25-1395</t>
  </si>
  <si>
    <t>1952/24-25</t>
  </si>
  <si>
    <t>Shree Sadguru Krupa Enterprises</t>
  </si>
  <si>
    <t>16</t>
  </si>
  <si>
    <t>4320295225</t>
  </si>
  <si>
    <t>4320295229</t>
  </si>
  <si>
    <t>4320295231</t>
  </si>
  <si>
    <t>4320295233</t>
  </si>
  <si>
    <t>4320295235</t>
  </si>
  <si>
    <t>4320295236</t>
  </si>
  <si>
    <t>4320295238</t>
  </si>
  <si>
    <t>4320295223</t>
  </si>
  <si>
    <t>4320295224</t>
  </si>
  <si>
    <t>104/24-25</t>
  </si>
  <si>
    <t>250559</t>
  </si>
  <si>
    <t>2024-25/JUN054</t>
  </si>
  <si>
    <t>2024-25/JUN069</t>
  </si>
  <si>
    <t>Variety Infotech</t>
  </si>
  <si>
    <t>27AACHJ6853N1ZP</t>
  </si>
  <si>
    <t>VIT-5861/24-25</t>
  </si>
  <si>
    <t>Raj Electricals</t>
  </si>
  <si>
    <t>2024-25/02759</t>
  </si>
  <si>
    <t>National Steel Traders</t>
  </si>
  <si>
    <t>27AJPPK3297B1ZO</t>
  </si>
  <si>
    <t>NST/387/24-25</t>
  </si>
  <si>
    <t>Kamlesh Corporation</t>
  </si>
  <si>
    <t>27AABPM4584C1ZT</t>
  </si>
  <si>
    <t>45</t>
  </si>
  <si>
    <t>46</t>
  </si>
  <si>
    <t>1155/24-25</t>
  </si>
  <si>
    <t>1156/24-25</t>
  </si>
  <si>
    <t>BWND/24-25/566</t>
  </si>
  <si>
    <t>1RG2425-108</t>
  </si>
  <si>
    <t>302</t>
  </si>
  <si>
    <t>Ashok Electro - Mech Industries</t>
  </si>
  <si>
    <t>27AAWPM0911G1ZL</t>
  </si>
  <si>
    <t>281/2024-25</t>
  </si>
  <si>
    <t>KPAS/24-25/1894</t>
  </si>
  <si>
    <t>Apnatime Tech Private Limited</t>
  </si>
  <si>
    <t>24-25/06/8008</t>
  </si>
  <si>
    <t>24186103756</t>
  </si>
  <si>
    <t>48</t>
  </si>
  <si>
    <t>3354</t>
  </si>
  <si>
    <t>3347</t>
  </si>
  <si>
    <t>B1504/24-25</t>
  </si>
  <si>
    <t>SLSLM-05800</t>
  </si>
  <si>
    <t>540/24-25</t>
  </si>
  <si>
    <t>508</t>
  </si>
  <si>
    <t>509</t>
  </si>
  <si>
    <t>BWND/24-25/577</t>
  </si>
  <si>
    <t>250573</t>
  </si>
  <si>
    <t>250578</t>
  </si>
  <si>
    <t>250575</t>
  </si>
  <si>
    <t>ME/1031/2024-25</t>
  </si>
  <si>
    <t>ASSPL/24-25/0211</t>
  </si>
  <si>
    <t>7896</t>
  </si>
  <si>
    <t>4320295579</t>
  </si>
  <si>
    <t>4320295580</t>
  </si>
  <si>
    <t>4320295594</t>
  </si>
  <si>
    <t>KPAS/24-25/1980</t>
  </si>
  <si>
    <t>Pravinchandra &amp; Co Jaliwala</t>
  </si>
  <si>
    <t>27AAAFP4596N1ZL</t>
  </si>
  <si>
    <t>16626</t>
  </si>
  <si>
    <t>MEPL/02618/24-25</t>
  </si>
  <si>
    <t>SLSLM-05928</t>
  </si>
  <si>
    <t>4320295685</t>
  </si>
  <si>
    <t>4320295686</t>
  </si>
  <si>
    <t>4320295687</t>
  </si>
  <si>
    <t>4320295688</t>
  </si>
  <si>
    <t>4320295689</t>
  </si>
  <si>
    <t>4320295690</t>
  </si>
  <si>
    <t>4320295711</t>
  </si>
  <si>
    <t>4320295714</t>
  </si>
  <si>
    <t>4320295715</t>
  </si>
  <si>
    <t>4320295716</t>
  </si>
  <si>
    <t>112/24-25</t>
  </si>
  <si>
    <t>113/24-25</t>
  </si>
  <si>
    <t>114/24-25</t>
  </si>
  <si>
    <t>2024-25/JUN122</t>
  </si>
  <si>
    <t>2113/24-25</t>
  </si>
  <si>
    <t>SMI/442/24-25</t>
  </si>
  <si>
    <t>SMI/446/24-25</t>
  </si>
  <si>
    <t>7907</t>
  </si>
  <si>
    <t>541/24-25</t>
  </si>
  <si>
    <t>311/2024-25</t>
  </si>
  <si>
    <t>7101</t>
  </si>
  <si>
    <t>43</t>
  </si>
  <si>
    <t>4320295990</t>
  </si>
  <si>
    <t>4320296001</t>
  </si>
  <si>
    <t>4320296002</t>
  </si>
  <si>
    <t>543</t>
  </si>
  <si>
    <t>VIT-6828/24-25</t>
  </si>
  <si>
    <t>276/24-25</t>
  </si>
  <si>
    <t>Golden Light House</t>
  </si>
  <si>
    <t>27AEQPS1948M1ZL</t>
  </si>
  <si>
    <t>1298</t>
  </si>
  <si>
    <t>562</t>
  </si>
  <si>
    <t>567</t>
  </si>
  <si>
    <t>Thermax Ltd - Pune</t>
  </si>
  <si>
    <t>27AAACT3910D1ZS</t>
  </si>
  <si>
    <t>270100018471</t>
  </si>
  <si>
    <t>286</t>
  </si>
  <si>
    <t>VIT-6975/24-25</t>
  </si>
  <si>
    <t>New Bharat Fire Protection System Pvt. Ltd.</t>
  </si>
  <si>
    <t>NBF/W/2425/196</t>
  </si>
  <si>
    <t>SS/01139/2024-25</t>
  </si>
  <si>
    <t>564/24-25</t>
  </si>
  <si>
    <t>Maharashtra Pipe Centre</t>
  </si>
  <si>
    <t>27ESDPK7454P1ZY</t>
  </si>
  <si>
    <t>107</t>
  </si>
  <si>
    <t>311</t>
  </si>
  <si>
    <t>1386/24-25</t>
  </si>
  <si>
    <t>581</t>
  </si>
  <si>
    <t>U1/24-25/1493</t>
  </si>
  <si>
    <t>4320296430</t>
  </si>
  <si>
    <t>4320296432</t>
  </si>
  <si>
    <t>4320296440</t>
  </si>
  <si>
    <t>4320296435</t>
  </si>
  <si>
    <t>4320296438</t>
  </si>
  <si>
    <t>4320296439</t>
  </si>
  <si>
    <t>B1766/24-25</t>
  </si>
  <si>
    <t>7930</t>
  </si>
  <si>
    <t>2460</t>
  </si>
  <si>
    <t>7112</t>
  </si>
  <si>
    <t>24/25-1758</t>
  </si>
  <si>
    <t>SMI/500/24-25</t>
  </si>
  <si>
    <t>125/24-25</t>
  </si>
  <si>
    <t>ME/1279/2024-25</t>
  </si>
  <si>
    <t>SALES/2425/0932</t>
  </si>
  <si>
    <t>1431/24-25</t>
  </si>
  <si>
    <t>313</t>
  </si>
  <si>
    <t>4320296584</t>
  </si>
  <si>
    <t>4320296590</t>
  </si>
  <si>
    <t>4320296591</t>
  </si>
  <si>
    <t>250714</t>
  </si>
  <si>
    <t>2024-25/JUN235</t>
  </si>
  <si>
    <t>Shree Sundha Computer</t>
  </si>
  <si>
    <t>27DZCPK9046J1ZY</t>
  </si>
  <si>
    <t>RELJ-6804</t>
  </si>
  <si>
    <t>58</t>
  </si>
  <si>
    <t>59</t>
  </si>
  <si>
    <t>Pooja Power Control</t>
  </si>
  <si>
    <t>1081</t>
  </si>
  <si>
    <t>1147</t>
  </si>
  <si>
    <t>1734/2024-25</t>
  </si>
  <si>
    <t>117</t>
  </si>
  <si>
    <t>3366</t>
  </si>
  <si>
    <t>604</t>
  </si>
  <si>
    <t>603</t>
  </si>
  <si>
    <t>127/24-25</t>
  </si>
  <si>
    <t>128/24-25</t>
  </si>
  <si>
    <t>4320296667</t>
  </si>
  <si>
    <t>BWND/24-25/687</t>
  </si>
  <si>
    <t>SRE/2676/24-25</t>
  </si>
  <si>
    <t>YSM00308/24-25</t>
  </si>
  <si>
    <t>647944776</t>
  </si>
  <si>
    <t>590/24-25</t>
  </si>
  <si>
    <t>SMI/503/24-25</t>
  </si>
  <si>
    <t>2024-25/JUN274</t>
  </si>
  <si>
    <t>PTS/24-25/1305</t>
  </si>
  <si>
    <t>Tha Morarji Jetha</t>
  </si>
  <si>
    <t>27AAAFT1125B1ZV</t>
  </si>
  <si>
    <t>178</t>
  </si>
  <si>
    <t>BWND/24-25/700</t>
  </si>
  <si>
    <t>7942</t>
  </si>
  <si>
    <t>27DERPR1171F1Z6</t>
  </si>
  <si>
    <t>1083</t>
  </si>
  <si>
    <t>132/24-25</t>
  </si>
  <si>
    <t>616</t>
  </si>
  <si>
    <t>313/24-25</t>
  </si>
  <si>
    <t>SS/01253/2024-25</t>
  </si>
  <si>
    <t>620/24-25</t>
  </si>
  <si>
    <t>1850/2024-25</t>
  </si>
  <si>
    <t>53</t>
  </si>
  <si>
    <t>319</t>
  </si>
  <si>
    <t>628</t>
  </si>
  <si>
    <t>250770</t>
  </si>
  <si>
    <t>250771</t>
  </si>
  <si>
    <t>250774</t>
  </si>
  <si>
    <t>SRE/2776/24-25</t>
  </si>
  <si>
    <t>ME/1419/2024-25</t>
  </si>
  <si>
    <t>HT2527I003134977</t>
  </si>
  <si>
    <t>648010160</t>
  </si>
  <si>
    <t>24/25-1906</t>
  </si>
  <si>
    <t>2024-25/JUN352</t>
  </si>
  <si>
    <t>1091/2024-25</t>
  </si>
  <si>
    <t>374137440</t>
  </si>
  <si>
    <t>374137441</t>
  </si>
  <si>
    <t>374137442</t>
  </si>
  <si>
    <t>24-25/131</t>
  </si>
  <si>
    <t>632</t>
  </si>
  <si>
    <t>320</t>
  </si>
  <si>
    <t>PCT/97</t>
  </si>
  <si>
    <t>645</t>
  </si>
  <si>
    <t>G-0319/24</t>
  </si>
  <si>
    <t>SRE/2867/24-25</t>
  </si>
  <si>
    <t>062/24-25</t>
  </si>
  <si>
    <t>Appario Retail Private Ltd</t>
  </si>
  <si>
    <t>27AALCA0171E1ZZ</t>
  </si>
  <si>
    <t>FBOA-28073</t>
  </si>
  <si>
    <t>Raj Bali</t>
  </si>
  <si>
    <t>07BLQPB1321K1Z9</t>
  </si>
  <si>
    <t>DEX8-2145</t>
  </si>
  <si>
    <t>Amazon Seller Services Private Limited</t>
  </si>
  <si>
    <t>IN-1044-2425</t>
  </si>
  <si>
    <t>Shopoflux</t>
  </si>
  <si>
    <t>06CFBPM9346B1ZL</t>
  </si>
  <si>
    <t>DEL5-4057</t>
  </si>
  <si>
    <t>Jeet Enterprises</t>
  </si>
  <si>
    <t>07AIFPK7371R1ZI</t>
  </si>
  <si>
    <t>IN-1782</t>
  </si>
  <si>
    <t>WAG/00210/2024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</si>
</sst>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9.0"/>
      <color theme="1"/>
      <name val="Arial"/>
    </font>
    <font>
      <sz val="9.0"/>
      <color theme="1"/>
      <name val="Arial"/>
    </font>
    <font>
      <i/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9" xfId="0" applyBorder="1" applyFont="1" applyNumberFormat="1"/>
    <xf borderId="1" fillId="0" fontId="2" numFmtId="0" xfId="0" applyBorder="1" applyFont="1"/>
    <xf borderId="1" fillId="0" fontId="3" numFmtId="49" xfId="0" applyAlignment="1" applyBorder="1" applyFont="1" applyNumberFormat="1">
      <alignment vertical="top"/>
    </xf>
    <xf borderId="1" fillId="0" fontId="4" numFmtId="49" xfId="0" applyAlignment="1" applyBorder="1" applyFont="1" applyNumberFormat="1">
      <alignment vertical="top"/>
    </xf>
    <xf borderId="1" fillId="0" fontId="4" numFmtId="15" xfId="0" applyAlignment="1" applyBorder="1" applyFont="1" applyNumberFormat="1">
      <alignment horizontal="right" vertical="top"/>
    </xf>
    <xf borderId="1" fillId="0" fontId="2" numFmtId="3" xfId="0" applyBorder="1" applyFont="1" applyNumberFormat="1"/>
    <xf borderId="1" fillId="0" fontId="2" numFmtId="9" xfId="0" applyBorder="1" applyFont="1" applyNumberFormat="1"/>
    <xf borderId="1" fillId="0" fontId="2" numFmtId="10" xfId="0" applyBorder="1" applyFont="1" applyNumberFormat="1"/>
    <xf borderId="1" fillId="0" fontId="4" numFmtId="14" xfId="0" applyAlignment="1" applyBorder="1" applyFont="1" applyNumberFormat="1">
      <alignment horizontal="right" vertical="top"/>
    </xf>
    <xf borderId="1" fillId="0" fontId="5" numFmtId="49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57"/>
    <col customWidth="1" min="2" max="2" width="21.0"/>
    <col customWidth="1" min="3" max="3" width="19.86"/>
    <col customWidth="1" min="4" max="4" width="16.0"/>
    <col customWidth="1" min="5" max="5" width="19.29"/>
    <col customWidth="1" min="6" max="6" width="13.57"/>
    <col customWidth="1" min="7" max="7" width="10.0"/>
    <col customWidth="1" min="8" max="9" width="6.57"/>
    <col customWidth="1" min="10" max="10" width="9.29"/>
    <col customWidth="1" min="11" max="11" width="8.71"/>
    <col customWidth="1" min="12" max="12" width="45.43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3"/>
    </row>
    <row r="2">
      <c r="A2" s="4" t="s">
        <v>16</v>
      </c>
      <c r="B2" s="5" t="s">
        <v>17</v>
      </c>
      <c r="C2" s="5" t="s">
        <v>18</v>
      </c>
      <c r="D2" s="6">
        <v>45383.0</v>
      </c>
      <c r="E2" s="3"/>
      <c r="F2" s="7">
        <v>21000.0</v>
      </c>
      <c r="G2" s="7">
        <v>0.0</v>
      </c>
      <c r="H2" s="7">
        <v>1890.0</v>
      </c>
      <c r="I2" s="7">
        <v>1890.0</v>
      </c>
      <c r="J2" s="7">
        <f t="shared" ref="J2:J559" si="1">SUM(G2:I2)</f>
        <v>3780</v>
      </c>
      <c r="K2" s="3"/>
      <c r="L2" s="3" t="str">
        <f t="shared" ref="L2:L1001" si="2">IF(B2="","",UPPER(TRIM(B2))&amp;"-"&amp;UPPER(TRIM(C2))&amp;"-"&amp;TEXT(D2,"DDMMYYYY"))</f>
        <v>27AAMFS8359L1Z9-26/08/2025-01042024</v>
      </c>
      <c r="M2" s="8">
        <f t="shared" ref="M2:M13" si="3">IFERROR(J2/F2,"")</f>
        <v>0.18</v>
      </c>
      <c r="N2" s="3" t="str">
        <f t="shared" ref="N2:N1001" si="4">IF(AND(B2="",C2=""),"GSTIN &amp; Invoice No not entered",IF(B2="","GSTIN not entered",IF(C2="","Invoice No not entered","")))</f>
        <v/>
      </c>
      <c r="O2" s="9" t="str">
        <f t="shared" ref="O2:O1001" si="5">IFERROR(VLOOKUP(E2,HSN_Code:HSN_Rate,2,0),"")</f>
        <v/>
      </c>
      <c r="P2" s="3" t="str">
        <f t="shared" ref="P2:P1001" si="6">IF(AND(NOT(ISBLANK(E2)),NOT(ISBLANK(O2))),IF(ROUND(M2,0)&lt;&gt;ROUND(O2,0),"Yes",""),"")</f>
        <v/>
      </c>
      <c r="Q2" s="3"/>
    </row>
    <row r="3">
      <c r="A3" s="4" t="s">
        <v>19</v>
      </c>
      <c r="B3" s="5" t="s">
        <v>20</v>
      </c>
      <c r="C3" s="5" t="s">
        <v>21</v>
      </c>
      <c r="D3" s="10">
        <v>45383.0</v>
      </c>
      <c r="E3" s="3"/>
      <c r="F3" s="7">
        <v>1856.0</v>
      </c>
      <c r="G3" s="7">
        <v>0.0</v>
      </c>
      <c r="H3" s="7">
        <v>167.04</v>
      </c>
      <c r="I3" s="7">
        <v>167.04</v>
      </c>
      <c r="J3" s="7">
        <f t="shared" si="1"/>
        <v>334.08</v>
      </c>
      <c r="K3" s="3"/>
      <c r="L3" s="3" t="str">
        <f t="shared" si="2"/>
        <v>27AADCM2739E1ZL-MEPL/00012/24-25-01042024</v>
      </c>
      <c r="M3" s="8">
        <f t="shared" si="3"/>
        <v>0.18</v>
      </c>
      <c r="N3" s="3" t="str">
        <f t="shared" si="4"/>
        <v/>
      </c>
      <c r="O3" s="9" t="str">
        <f t="shared" si="5"/>
        <v/>
      </c>
      <c r="P3" s="3" t="str">
        <f t="shared" si="6"/>
        <v/>
      </c>
      <c r="Q3" s="3"/>
    </row>
    <row r="4">
      <c r="A4" s="4" t="s">
        <v>22</v>
      </c>
      <c r="B4" s="5" t="s">
        <v>23</v>
      </c>
      <c r="C4" s="5" t="s">
        <v>24</v>
      </c>
      <c r="D4" s="6">
        <v>45383.0</v>
      </c>
      <c r="E4" s="3"/>
      <c r="F4" s="7">
        <v>1700.0</v>
      </c>
      <c r="G4" s="7">
        <v>0.0</v>
      </c>
      <c r="H4" s="7">
        <v>153.0</v>
      </c>
      <c r="I4" s="7">
        <v>153.0</v>
      </c>
      <c r="J4" s="7">
        <f t="shared" si="1"/>
        <v>306</v>
      </c>
      <c r="K4" s="3"/>
      <c r="L4" s="3" t="str">
        <f t="shared" si="2"/>
        <v>27AABFS2833A1ZO-SLSLM-00028-01042024</v>
      </c>
      <c r="M4" s="8">
        <f t="shared" si="3"/>
        <v>0.18</v>
      </c>
      <c r="N4" s="3" t="str">
        <f t="shared" si="4"/>
        <v/>
      </c>
      <c r="O4" s="9" t="str">
        <f t="shared" si="5"/>
        <v/>
      </c>
      <c r="P4" s="3" t="str">
        <f t="shared" si="6"/>
        <v/>
      </c>
      <c r="Q4" s="3"/>
    </row>
    <row r="5">
      <c r="A5" s="4" t="s">
        <v>25</v>
      </c>
      <c r="B5" s="5" t="s">
        <v>26</v>
      </c>
      <c r="C5" s="5" t="s">
        <v>27</v>
      </c>
      <c r="D5" s="6">
        <v>45383.0</v>
      </c>
      <c r="E5" s="3"/>
      <c r="F5" s="7">
        <v>3462.0</v>
      </c>
      <c r="G5" s="7">
        <v>0.0</v>
      </c>
      <c r="H5" s="7">
        <v>207.72</v>
      </c>
      <c r="I5" s="7">
        <v>207.72</v>
      </c>
      <c r="J5" s="7">
        <f t="shared" si="1"/>
        <v>415.44</v>
      </c>
      <c r="K5" s="3"/>
      <c r="L5" s="3" t="str">
        <f t="shared" si="2"/>
        <v>27ADJPV3549B2ZC-05/24-25-01042024</v>
      </c>
      <c r="M5" s="8">
        <f t="shared" si="3"/>
        <v>0.12</v>
      </c>
      <c r="N5" s="3" t="str">
        <f t="shared" si="4"/>
        <v/>
      </c>
      <c r="O5" s="9" t="str">
        <f t="shared" si="5"/>
        <v/>
      </c>
      <c r="P5" s="3" t="str">
        <f t="shared" si="6"/>
        <v/>
      </c>
      <c r="Q5" s="3"/>
    </row>
    <row r="6">
      <c r="A6" s="4" t="s">
        <v>28</v>
      </c>
      <c r="B6" s="5"/>
      <c r="C6" s="5" t="s">
        <v>29</v>
      </c>
      <c r="D6" s="6">
        <v>45383.0</v>
      </c>
      <c r="E6" s="3"/>
      <c r="F6" s="7">
        <v>380.0</v>
      </c>
      <c r="G6" s="7">
        <v>0.0</v>
      </c>
      <c r="H6" s="7">
        <v>9.5</v>
      </c>
      <c r="I6" s="7">
        <v>9.5</v>
      </c>
      <c r="J6" s="7">
        <f t="shared" si="1"/>
        <v>19</v>
      </c>
      <c r="K6" s="3"/>
      <c r="L6" s="3" t="str">
        <f t="shared" si="2"/>
        <v/>
      </c>
      <c r="M6" s="8">
        <f t="shared" si="3"/>
        <v>0.05</v>
      </c>
      <c r="N6" s="3" t="str">
        <f t="shared" si="4"/>
        <v>GSTIN not entered</v>
      </c>
      <c r="O6" s="9" t="str">
        <f t="shared" si="5"/>
        <v/>
      </c>
      <c r="P6" s="3" t="str">
        <f t="shared" si="6"/>
        <v/>
      </c>
      <c r="Q6" s="3"/>
    </row>
    <row r="7">
      <c r="A7" s="4" t="s">
        <v>30</v>
      </c>
      <c r="B7" s="5"/>
      <c r="C7" s="5" t="s">
        <v>31</v>
      </c>
      <c r="D7" s="6">
        <v>45383.0</v>
      </c>
      <c r="E7" s="3"/>
      <c r="F7" s="7">
        <v>595.0</v>
      </c>
      <c r="G7" s="7">
        <v>0.0</v>
      </c>
      <c r="H7" s="7">
        <v>0.0</v>
      </c>
      <c r="I7" s="7">
        <v>0.0</v>
      </c>
      <c r="J7" s="7">
        <f t="shared" si="1"/>
        <v>0</v>
      </c>
      <c r="K7" s="3"/>
      <c r="L7" s="3" t="str">
        <f t="shared" si="2"/>
        <v/>
      </c>
      <c r="M7" s="8">
        <f t="shared" si="3"/>
        <v>0</v>
      </c>
      <c r="N7" s="3" t="str">
        <f t="shared" si="4"/>
        <v>GSTIN not entered</v>
      </c>
      <c r="O7" s="9" t="str">
        <f t="shared" si="5"/>
        <v/>
      </c>
      <c r="P7" s="3" t="str">
        <f t="shared" si="6"/>
        <v/>
      </c>
      <c r="Q7" s="3"/>
    </row>
    <row r="8">
      <c r="A8" s="4" t="s">
        <v>32</v>
      </c>
      <c r="B8" s="5" t="s">
        <v>33</v>
      </c>
      <c r="C8" s="5" t="s">
        <v>34</v>
      </c>
      <c r="D8" s="6">
        <v>45383.0</v>
      </c>
      <c r="E8" s="3"/>
      <c r="F8" s="7">
        <v>35763.0</v>
      </c>
      <c r="G8" s="7">
        <v>0.0</v>
      </c>
      <c r="H8" s="7">
        <v>3218.67</v>
      </c>
      <c r="I8" s="7">
        <v>3218.67</v>
      </c>
      <c r="J8" s="7">
        <f t="shared" si="1"/>
        <v>6437.34</v>
      </c>
      <c r="K8" s="3"/>
      <c r="L8" s="3" t="str">
        <f t="shared" si="2"/>
        <v>27ALLPP4407E1Z3-M/BW/24-25/580-01042024</v>
      </c>
      <c r="M8" s="8">
        <f t="shared" si="3"/>
        <v>0.18</v>
      </c>
      <c r="N8" s="3" t="str">
        <f t="shared" si="4"/>
        <v/>
      </c>
      <c r="O8" s="9" t="str">
        <f t="shared" si="5"/>
        <v/>
      </c>
      <c r="P8" s="3" t="str">
        <f t="shared" si="6"/>
        <v/>
      </c>
      <c r="Q8" s="3"/>
    </row>
    <row r="9">
      <c r="A9" s="4" t="s">
        <v>35</v>
      </c>
      <c r="B9" s="5" t="s">
        <v>36</v>
      </c>
      <c r="C9" s="5" t="s">
        <v>37</v>
      </c>
      <c r="D9" s="6">
        <v>45384.0</v>
      </c>
      <c r="E9" s="3"/>
      <c r="F9" s="7">
        <v>5966.0</v>
      </c>
      <c r="G9" s="7">
        <v>0.0</v>
      </c>
      <c r="H9" s="7">
        <v>537.0</v>
      </c>
      <c r="I9" s="7">
        <v>537.0</v>
      </c>
      <c r="J9" s="7">
        <f t="shared" si="1"/>
        <v>1074</v>
      </c>
      <c r="K9" s="3"/>
      <c r="L9" s="3" t="str">
        <f t="shared" si="2"/>
        <v>27AATPW4996L1ZA-3264-02042024</v>
      </c>
      <c r="M9" s="8">
        <f t="shared" si="3"/>
        <v>0.180020114</v>
      </c>
      <c r="N9" s="3" t="str">
        <f t="shared" si="4"/>
        <v/>
      </c>
      <c r="O9" s="9" t="str">
        <f t="shared" si="5"/>
        <v/>
      </c>
      <c r="P9" s="3" t="str">
        <f t="shared" si="6"/>
        <v/>
      </c>
      <c r="Q9" s="3"/>
    </row>
    <row r="10">
      <c r="A10" s="4" t="s">
        <v>38</v>
      </c>
      <c r="B10" s="5" t="s">
        <v>39</v>
      </c>
      <c r="C10" s="5" t="s">
        <v>40</v>
      </c>
      <c r="D10" s="6">
        <v>45384.0</v>
      </c>
      <c r="E10" s="3"/>
      <c r="F10" s="7">
        <v>2500.0</v>
      </c>
      <c r="G10" s="7">
        <v>0.0</v>
      </c>
      <c r="H10" s="7">
        <v>150.0</v>
      </c>
      <c r="I10" s="7">
        <v>150.0</v>
      </c>
      <c r="J10" s="7">
        <f t="shared" si="1"/>
        <v>300</v>
      </c>
      <c r="K10" s="3"/>
      <c r="L10" s="3" t="str">
        <f t="shared" si="2"/>
        <v>27AOVPP9192F2Z0-243-02042024</v>
      </c>
      <c r="M10" s="8">
        <f t="shared" si="3"/>
        <v>0.12</v>
      </c>
      <c r="N10" s="3" t="str">
        <f t="shared" si="4"/>
        <v/>
      </c>
      <c r="O10" s="9" t="str">
        <f t="shared" si="5"/>
        <v/>
      </c>
      <c r="P10" s="3" t="str">
        <f t="shared" si="6"/>
        <v/>
      </c>
      <c r="Q10" s="3"/>
    </row>
    <row r="11">
      <c r="A11" s="4" t="s">
        <v>41</v>
      </c>
      <c r="B11" s="5" t="s">
        <v>42</v>
      </c>
      <c r="C11" s="5" t="s">
        <v>43</v>
      </c>
      <c r="D11" s="6">
        <v>45384.0</v>
      </c>
      <c r="E11" s="3"/>
      <c r="F11" s="7">
        <v>565.5</v>
      </c>
      <c r="G11" s="7">
        <v>0.0</v>
      </c>
      <c r="H11" s="7">
        <v>50.9</v>
      </c>
      <c r="I11" s="7">
        <v>50.9</v>
      </c>
      <c r="J11" s="7">
        <f t="shared" si="1"/>
        <v>101.8</v>
      </c>
      <c r="K11" s="3"/>
      <c r="L11" s="3" t="str">
        <f t="shared" si="2"/>
        <v>27AACCA4768Q1Z0-21-02042024</v>
      </c>
      <c r="M11" s="8">
        <f t="shared" si="3"/>
        <v>0.1800176835</v>
      </c>
      <c r="N11" s="3" t="str">
        <f t="shared" si="4"/>
        <v/>
      </c>
      <c r="O11" s="9" t="str">
        <f t="shared" si="5"/>
        <v/>
      </c>
      <c r="P11" s="3" t="str">
        <f t="shared" si="6"/>
        <v/>
      </c>
      <c r="Q11" s="3"/>
    </row>
    <row r="12">
      <c r="A12" s="4" t="s">
        <v>44</v>
      </c>
      <c r="B12" s="5" t="s">
        <v>45</v>
      </c>
      <c r="C12" s="5" t="s">
        <v>46</v>
      </c>
      <c r="D12" s="6">
        <v>45384.0</v>
      </c>
      <c r="E12" s="3"/>
      <c r="F12" s="7">
        <v>6869.25</v>
      </c>
      <c r="G12" s="7">
        <v>0.0</v>
      </c>
      <c r="H12" s="7">
        <v>618.24</v>
      </c>
      <c r="I12" s="7">
        <v>618.24</v>
      </c>
      <c r="J12" s="7">
        <f t="shared" si="1"/>
        <v>1236.48</v>
      </c>
      <c r="K12" s="3"/>
      <c r="L12" s="3" t="str">
        <f t="shared" si="2"/>
        <v>27BAEPA9590G1ZL-BWND/24-25/50-02042024</v>
      </c>
      <c r="M12" s="8">
        <f t="shared" si="3"/>
        <v>0.1800021836</v>
      </c>
      <c r="N12" s="3" t="str">
        <f t="shared" si="4"/>
        <v/>
      </c>
      <c r="O12" s="9" t="str">
        <f t="shared" si="5"/>
        <v/>
      </c>
      <c r="P12" s="3" t="str">
        <f t="shared" si="6"/>
        <v/>
      </c>
      <c r="Q12" s="3"/>
    </row>
    <row r="13">
      <c r="A13" s="4" t="s">
        <v>47</v>
      </c>
      <c r="B13" s="5" t="s">
        <v>48</v>
      </c>
      <c r="C13" s="5" t="s">
        <v>49</v>
      </c>
      <c r="D13" s="6">
        <v>45385.0</v>
      </c>
      <c r="E13" s="3"/>
      <c r="F13" s="7">
        <v>18621.0</v>
      </c>
      <c r="G13" s="7">
        <v>0.0</v>
      </c>
      <c r="H13" s="7">
        <v>1675.89</v>
      </c>
      <c r="I13" s="7">
        <v>1675.89</v>
      </c>
      <c r="J13" s="7">
        <f t="shared" si="1"/>
        <v>3351.78</v>
      </c>
      <c r="K13" s="3"/>
      <c r="L13" s="3" t="str">
        <f t="shared" si="2"/>
        <v>27AAAFM2359N1ZZ-7692-03042024</v>
      </c>
      <c r="M13" s="8">
        <f t="shared" si="3"/>
        <v>0.18</v>
      </c>
      <c r="N13" s="3" t="str">
        <f t="shared" si="4"/>
        <v/>
      </c>
      <c r="O13" s="9" t="str">
        <f t="shared" si="5"/>
        <v/>
      </c>
      <c r="P13" s="3" t="str">
        <f t="shared" si="6"/>
        <v/>
      </c>
      <c r="Q13" s="3"/>
    </row>
    <row r="14">
      <c r="A14" s="4" t="s">
        <v>50</v>
      </c>
      <c r="B14" s="5" t="s">
        <v>51</v>
      </c>
      <c r="C14" s="5" t="s">
        <v>52</v>
      </c>
      <c r="D14" s="6">
        <v>45385.0</v>
      </c>
      <c r="E14" s="3"/>
      <c r="F14" s="3">
        <v>3200.0</v>
      </c>
      <c r="G14" s="3">
        <v>0.0</v>
      </c>
      <c r="H14" s="3">
        <v>288.0</v>
      </c>
      <c r="I14" s="3">
        <v>288.0</v>
      </c>
      <c r="J14" s="7">
        <f t="shared" si="1"/>
        <v>576</v>
      </c>
      <c r="K14" s="3"/>
      <c r="L14" s="3" t="str">
        <f t="shared" si="2"/>
        <v>27AAPPS9140J1Z0-16/2024-25-03042024</v>
      </c>
      <c r="M14" s="8">
        <f t="shared" ref="M14:M1001" si="7">IFERROR(J14/F14*100,"")</f>
        <v>18</v>
      </c>
      <c r="N14" s="3" t="str">
        <f t="shared" si="4"/>
        <v/>
      </c>
      <c r="O14" s="9" t="str">
        <f t="shared" si="5"/>
        <v/>
      </c>
      <c r="P14" s="3" t="str">
        <f t="shared" si="6"/>
        <v/>
      </c>
      <c r="Q14" s="3"/>
    </row>
    <row r="15">
      <c r="A15" s="4" t="s">
        <v>53</v>
      </c>
      <c r="B15" s="5" t="s">
        <v>54</v>
      </c>
      <c r="C15" s="5" t="s">
        <v>55</v>
      </c>
      <c r="D15" s="6">
        <v>45385.0</v>
      </c>
      <c r="E15" s="3"/>
      <c r="F15" s="3">
        <v>6749.6</v>
      </c>
      <c r="G15" s="3">
        <v>0.0</v>
      </c>
      <c r="H15" s="3">
        <v>607.46</v>
      </c>
      <c r="I15" s="3">
        <v>607.46</v>
      </c>
      <c r="J15" s="7">
        <f t="shared" si="1"/>
        <v>1214.92</v>
      </c>
      <c r="K15" s="3"/>
      <c r="L15" s="3" t="str">
        <f t="shared" si="2"/>
        <v>27AHKPJ4662N1ZR-PP/0014/24-25-03042024</v>
      </c>
      <c r="M15" s="8">
        <f t="shared" si="7"/>
        <v>17.99988147</v>
      </c>
      <c r="N15" s="3" t="str">
        <f t="shared" si="4"/>
        <v/>
      </c>
      <c r="O15" s="9" t="str">
        <f t="shared" si="5"/>
        <v/>
      </c>
      <c r="P15" s="3" t="str">
        <f t="shared" si="6"/>
        <v/>
      </c>
      <c r="Q15" s="3"/>
    </row>
    <row r="16">
      <c r="A16" s="4" t="s">
        <v>56</v>
      </c>
      <c r="B16" s="5" t="s">
        <v>57</v>
      </c>
      <c r="C16" s="5" t="s">
        <v>58</v>
      </c>
      <c r="D16" s="6">
        <v>45385.0</v>
      </c>
      <c r="E16" s="3"/>
      <c r="F16" s="3">
        <v>132856.0</v>
      </c>
      <c r="G16" s="3">
        <v>0.0</v>
      </c>
      <c r="H16" s="3">
        <v>11957.0</v>
      </c>
      <c r="I16" s="3">
        <v>11957.0</v>
      </c>
      <c r="J16" s="7">
        <f t="shared" si="1"/>
        <v>23914</v>
      </c>
      <c r="K16" s="3"/>
      <c r="L16" s="3" t="str">
        <f t="shared" si="2"/>
        <v>27AAACB2900K1ZZ-4320289695-03042024</v>
      </c>
      <c r="M16" s="8">
        <f t="shared" si="7"/>
        <v>17.99993978</v>
      </c>
      <c r="N16" s="3" t="str">
        <f t="shared" si="4"/>
        <v/>
      </c>
      <c r="O16" s="9" t="str">
        <f t="shared" si="5"/>
        <v/>
      </c>
      <c r="P16" s="3" t="str">
        <f t="shared" si="6"/>
        <v/>
      </c>
      <c r="Q16" s="3"/>
    </row>
    <row r="17">
      <c r="A17" s="4" t="s">
        <v>56</v>
      </c>
      <c r="B17" s="5" t="s">
        <v>57</v>
      </c>
      <c r="C17" s="5" t="s">
        <v>59</v>
      </c>
      <c r="D17" s="6">
        <v>45385.0</v>
      </c>
      <c r="E17" s="3"/>
      <c r="F17" s="3">
        <v>16878.0</v>
      </c>
      <c r="G17" s="3">
        <v>0.0</v>
      </c>
      <c r="H17" s="3">
        <v>1519.0</v>
      </c>
      <c r="I17" s="3">
        <v>1519.0</v>
      </c>
      <c r="J17" s="7">
        <f t="shared" si="1"/>
        <v>3038</v>
      </c>
      <c r="K17" s="3"/>
      <c r="L17" s="3" t="str">
        <f t="shared" si="2"/>
        <v>27AAACB2900K1ZZ-4320289698-03042024</v>
      </c>
      <c r="M17" s="8">
        <f t="shared" si="7"/>
        <v>17.99976301</v>
      </c>
      <c r="N17" s="3" t="str">
        <f t="shared" si="4"/>
        <v/>
      </c>
      <c r="O17" s="9" t="str">
        <f t="shared" si="5"/>
        <v/>
      </c>
      <c r="P17" s="3" t="str">
        <f t="shared" si="6"/>
        <v/>
      </c>
      <c r="Q17" s="3"/>
    </row>
    <row r="18">
      <c r="A18" s="4" t="s">
        <v>56</v>
      </c>
      <c r="B18" s="5" t="s">
        <v>57</v>
      </c>
      <c r="C18" s="5" t="s">
        <v>60</v>
      </c>
      <c r="D18" s="6">
        <v>45385.0</v>
      </c>
      <c r="E18" s="3"/>
      <c r="F18" s="3">
        <v>119032.0</v>
      </c>
      <c r="G18" s="3">
        <v>0.0</v>
      </c>
      <c r="H18" s="3">
        <v>10713.0</v>
      </c>
      <c r="I18" s="3">
        <v>10713.0</v>
      </c>
      <c r="J18" s="7">
        <f t="shared" si="1"/>
        <v>21426</v>
      </c>
      <c r="K18" s="3"/>
      <c r="L18" s="3" t="str">
        <f t="shared" si="2"/>
        <v>27AAACB2900K1ZZ-4320289699-03042024</v>
      </c>
      <c r="M18" s="8">
        <f t="shared" si="7"/>
        <v>18.00020163</v>
      </c>
      <c r="N18" s="3" t="str">
        <f t="shared" si="4"/>
        <v/>
      </c>
      <c r="O18" s="9" t="str">
        <f t="shared" si="5"/>
        <v/>
      </c>
      <c r="P18" s="3" t="str">
        <f t="shared" si="6"/>
        <v/>
      </c>
      <c r="Q18" s="3"/>
    </row>
    <row r="19">
      <c r="A19" s="4" t="s">
        <v>56</v>
      </c>
      <c r="B19" s="5" t="s">
        <v>57</v>
      </c>
      <c r="C19" s="5" t="s">
        <v>61</v>
      </c>
      <c r="D19" s="6">
        <v>45385.0</v>
      </c>
      <c r="E19" s="3"/>
      <c r="F19" s="3">
        <v>31750.0</v>
      </c>
      <c r="G19" s="3">
        <v>0.0</v>
      </c>
      <c r="H19" s="3">
        <v>2858.0</v>
      </c>
      <c r="I19" s="3">
        <v>2858.0</v>
      </c>
      <c r="J19" s="7">
        <f t="shared" si="1"/>
        <v>5716</v>
      </c>
      <c r="K19" s="3"/>
      <c r="L19" s="3" t="str">
        <f t="shared" si="2"/>
        <v>27AAACB2900K1ZZ-4320289700-03042024</v>
      </c>
      <c r="M19" s="8">
        <f t="shared" si="7"/>
        <v>18.00314961</v>
      </c>
      <c r="N19" s="3" t="str">
        <f t="shared" si="4"/>
        <v/>
      </c>
      <c r="O19" s="9" t="str">
        <f t="shared" si="5"/>
        <v/>
      </c>
      <c r="P19" s="3" t="str">
        <f t="shared" si="6"/>
        <v/>
      </c>
      <c r="Q19" s="3"/>
    </row>
    <row r="20">
      <c r="A20" s="4" t="s">
        <v>56</v>
      </c>
      <c r="B20" s="5" t="s">
        <v>57</v>
      </c>
      <c r="C20" s="5" t="s">
        <v>62</v>
      </c>
      <c r="D20" s="6">
        <v>45385.0</v>
      </c>
      <c r="E20" s="3"/>
      <c r="F20" s="3">
        <v>50400.0</v>
      </c>
      <c r="G20" s="3">
        <v>0.0</v>
      </c>
      <c r="H20" s="3">
        <v>4536.0</v>
      </c>
      <c r="I20" s="3">
        <v>4536.0</v>
      </c>
      <c r="J20" s="7">
        <f t="shared" si="1"/>
        <v>9072</v>
      </c>
      <c r="K20" s="3"/>
      <c r="L20" s="3" t="str">
        <f t="shared" si="2"/>
        <v>27AAACB2900K1ZZ-4320289701-03042024</v>
      </c>
      <c r="M20" s="8">
        <f t="shared" si="7"/>
        <v>18</v>
      </c>
      <c r="N20" s="3" t="str">
        <f t="shared" si="4"/>
        <v/>
      </c>
      <c r="O20" s="9" t="str">
        <f t="shared" si="5"/>
        <v/>
      </c>
      <c r="P20" s="3" t="str">
        <f t="shared" si="6"/>
        <v/>
      </c>
      <c r="Q20" s="3"/>
    </row>
    <row r="21" ht="15.75" customHeight="1">
      <c r="A21" s="4" t="s">
        <v>63</v>
      </c>
      <c r="B21" s="5" t="s">
        <v>64</v>
      </c>
      <c r="C21" s="5" t="s">
        <v>65</v>
      </c>
      <c r="D21" s="6">
        <v>45385.0</v>
      </c>
      <c r="E21" s="3"/>
      <c r="F21" s="3">
        <v>4300.0</v>
      </c>
      <c r="G21" s="3">
        <v>0.0</v>
      </c>
      <c r="H21" s="3">
        <v>387.0</v>
      </c>
      <c r="I21" s="3">
        <v>387.0</v>
      </c>
      <c r="J21" s="7">
        <f t="shared" si="1"/>
        <v>774</v>
      </c>
      <c r="K21" s="3"/>
      <c r="L21" s="3" t="str">
        <f t="shared" si="2"/>
        <v>27AAHPN5227F1ZQ-2-03042024</v>
      </c>
      <c r="M21" s="8">
        <f t="shared" si="7"/>
        <v>18</v>
      </c>
      <c r="N21" s="3" t="str">
        <f t="shared" si="4"/>
        <v/>
      </c>
      <c r="O21" s="9" t="str">
        <f t="shared" si="5"/>
        <v/>
      </c>
      <c r="P21" s="3" t="str">
        <f t="shared" si="6"/>
        <v/>
      </c>
      <c r="Q21" s="3"/>
    </row>
    <row r="22" ht="15.75" customHeight="1">
      <c r="A22" s="4" t="s">
        <v>66</v>
      </c>
      <c r="B22" s="5" t="s">
        <v>67</v>
      </c>
      <c r="C22" s="5" t="s">
        <v>68</v>
      </c>
      <c r="D22" s="6">
        <v>45385.0</v>
      </c>
      <c r="E22" s="3"/>
      <c r="F22" s="3">
        <v>10821.1</v>
      </c>
      <c r="G22" s="3">
        <v>0.0</v>
      </c>
      <c r="H22" s="3">
        <v>973.9</v>
      </c>
      <c r="I22" s="3">
        <v>973.9</v>
      </c>
      <c r="J22" s="7">
        <f t="shared" si="1"/>
        <v>1947.8</v>
      </c>
      <c r="K22" s="3"/>
      <c r="L22" s="3" t="str">
        <f t="shared" si="2"/>
        <v>27AABFM0352J1ZH-4/24-25-03042024</v>
      </c>
      <c r="M22" s="8">
        <f t="shared" si="7"/>
        <v>18.00001848</v>
      </c>
      <c r="N22" s="3" t="str">
        <f t="shared" si="4"/>
        <v/>
      </c>
      <c r="O22" s="9" t="str">
        <f t="shared" si="5"/>
        <v/>
      </c>
      <c r="P22" s="3" t="str">
        <f t="shared" si="6"/>
        <v/>
      </c>
      <c r="Q22" s="3"/>
    </row>
    <row r="23" ht="15.75" customHeight="1">
      <c r="A23" s="4" t="s">
        <v>69</v>
      </c>
      <c r="B23" s="5" t="s">
        <v>70</v>
      </c>
      <c r="C23" s="5" t="s">
        <v>71</v>
      </c>
      <c r="D23" s="6">
        <v>45386.0</v>
      </c>
      <c r="E23" s="3"/>
      <c r="F23" s="3">
        <v>19880.1</v>
      </c>
      <c r="G23" s="3">
        <v>0.0</v>
      </c>
      <c r="H23" s="3">
        <v>1789.21</v>
      </c>
      <c r="I23" s="3">
        <v>1789.21</v>
      </c>
      <c r="J23" s="7">
        <f t="shared" si="1"/>
        <v>3578.42</v>
      </c>
      <c r="K23" s="3"/>
      <c r="L23" s="3" t="str">
        <f t="shared" si="2"/>
        <v>27AAEFR8996A1ZU-77/24-25-04042024</v>
      </c>
      <c r="M23" s="8">
        <f t="shared" si="7"/>
        <v>18.00001006</v>
      </c>
      <c r="N23" s="3" t="str">
        <f t="shared" si="4"/>
        <v/>
      </c>
      <c r="O23" s="9" t="str">
        <f t="shared" si="5"/>
        <v/>
      </c>
      <c r="P23" s="3" t="str">
        <f t="shared" si="6"/>
        <v/>
      </c>
      <c r="Q23" s="3"/>
    </row>
    <row r="24" ht="15.75" customHeight="1">
      <c r="A24" s="4" t="s">
        <v>66</v>
      </c>
      <c r="B24" s="5" t="s">
        <v>67</v>
      </c>
      <c r="C24" s="5" t="s">
        <v>72</v>
      </c>
      <c r="D24" s="6">
        <v>45386.0</v>
      </c>
      <c r="E24" s="3"/>
      <c r="F24" s="3">
        <v>7574.9</v>
      </c>
      <c r="G24" s="3">
        <v>0.0</v>
      </c>
      <c r="H24" s="3">
        <v>681.74</v>
      </c>
      <c r="I24" s="3">
        <v>681.74</v>
      </c>
      <c r="J24" s="7">
        <f t="shared" si="1"/>
        <v>1363.48</v>
      </c>
      <c r="K24" s="3"/>
      <c r="L24" s="3" t="str">
        <f t="shared" si="2"/>
        <v>27AABFM0352J1ZH-6/24-25-04042024</v>
      </c>
      <c r="M24" s="8">
        <f t="shared" si="7"/>
        <v>17.9999736</v>
      </c>
      <c r="N24" s="3" t="str">
        <f t="shared" si="4"/>
        <v/>
      </c>
      <c r="O24" s="9" t="str">
        <f t="shared" si="5"/>
        <v/>
      </c>
      <c r="P24" s="3" t="str">
        <f t="shared" si="6"/>
        <v/>
      </c>
      <c r="Q24" s="3"/>
    </row>
    <row r="25" ht="15.75" customHeight="1">
      <c r="A25" s="4" t="s">
        <v>73</v>
      </c>
      <c r="B25" s="5" t="s">
        <v>74</v>
      </c>
      <c r="C25" s="5" t="s">
        <v>75</v>
      </c>
      <c r="D25" s="6">
        <v>45386.0</v>
      </c>
      <c r="E25" s="3"/>
      <c r="F25" s="3">
        <v>2100.0</v>
      </c>
      <c r="G25" s="3">
        <v>0.0</v>
      </c>
      <c r="H25" s="3">
        <v>189.0</v>
      </c>
      <c r="I25" s="3">
        <v>189.0</v>
      </c>
      <c r="J25" s="7">
        <f t="shared" si="1"/>
        <v>378</v>
      </c>
      <c r="K25" s="3"/>
      <c r="L25" s="3" t="str">
        <f t="shared" si="2"/>
        <v>27ADXFS5568H1Z4-SRE/123/24-25-04042024</v>
      </c>
      <c r="M25" s="8">
        <f t="shared" si="7"/>
        <v>18</v>
      </c>
      <c r="N25" s="3" t="str">
        <f t="shared" si="4"/>
        <v/>
      </c>
      <c r="O25" s="9" t="str">
        <f t="shared" si="5"/>
        <v/>
      </c>
      <c r="P25" s="3" t="str">
        <f t="shared" si="6"/>
        <v/>
      </c>
      <c r="Q25" s="3"/>
    </row>
    <row r="26" ht="15.75" customHeight="1">
      <c r="A26" s="4" t="s">
        <v>76</v>
      </c>
      <c r="B26" s="5" t="s">
        <v>77</v>
      </c>
      <c r="C26" s="5" t="s">
        <v>78</v>
      </c>
      <c r="D26" s="6">
        <v>45387.0</v>
      </c>
      <c r="E26" s="3"/>
      <c r="F26" s="3">
        <v>6485.85</v>
      </c>
      <c r="G26" s="3">
        <v>0.0</v>
      </c>
      <c r="H26" s="3">
        <v>583.73</v>
      </c>
      <c r="I26" s="3">
        <v>583.73</v>
      </c>
      <c r="J26" s="7">
        <f t="shared" si="1"/>
        <v>1167.46</v>
      </c>
      <c r="K26" s="3"/>
      <c r="L26" s="3" t="str">
        <f t="shared" si="2"/>
        <v>27AAVFK8826F1ZP-KPAS/24-25/142-05042024</v>
      </c>
      <c r="M26" s="8">
        <f t="shared" si="7"/>
        <v>18.00010793</v>
      </c>
      <c r="N26" s="3" t="str">
        <f t="shared" si="4"/>
        <v/>
      </c>
      <c r="O26" s="9" t="str">
        <f t="shared" si="5"/>
        <v/>
      </c>
      <c r="P26" s="3" t="str">
        <f t="shared" si="6"/>
        <v/>
      </c>
      <c r="Q26" s="3"/>
    </row>
    <row r="27" ht="15.75" customHeight="1">
      <c r="A27" s="4" t="s">
        <v>47</v>
      </c>
      <c r="B27" s="5" t="s">
        <v>48</v>
      </c>
      <c r="C27" s="5" t="s">
        <v>79</v>
      </c>
      <c r="D27" s="6">
        <v>45387.0</v>
      </c>
      <c r="E27" s="3"/>
      <c r="F27" s="3">
        <v>34575.75</v>
      </c>
      <c r="G27" s="3">
        <v>0.0</v>
      </c>
      <c r="H27" s="3">
        <v>3111.82</v>
      </c>
      <c r="I27" s="3">
        <v>3111.82</v>
      </c>
      <c r="J27" s="7">
        <f t="shared" si="1"/>
        <v>6223.64</v>
      </c>
      <c r="K27" s="3"/>
      <c r="L27" s="3" t="str">
        <f t="shared" si="2"/>
        <v>27AAAFM2359N1ZZ-7703-05042024</v>
      </c>
      <c r="M27" s="8">
        <f t="shared" si="7"/>
        <v>18.00001446</v>
      </c>
      <c r="N27" s="3" t="str">
        <f t="shared" si="4"/>
        <v/>
      </c>
      <c r="O27" s="9" t="str">
        <f t="shared" si="5"/>
        <v/>
      </c>
      <c r="P27" s="3" t="str">
        <f t="shared" si="6"/>
        <v/>
      </c>
      <c r="Q27" s="3"/>
    </row>
    <row r="28" ht="15.75" customHeight="1">
      <c r="A28" s="4" t="s">
        <v>80</v>
      </c>
      <c r="B28" s="5" t="s">
        <v>81</v>
      </c>
      <c r="C28" s="5" t="s">
        <v>82</v>
      </c>
      <c r="D28" s="6">
        <v>45387.0</v>
      </c>
      <c r="E28" s="3"/>
      <c r="F28" s="3">
        <v>2488.0</v>
      </c>
      <c r="G28" s="3">
        <v>0.0</v>
      </c>
      <c r="H28" s="3">
        <v>223.92</v>
      </c>
      <c r="I28" s="3">
        <v>223.92</v>
      </c>
      <c r="J28" s="7">
        <f t="shared" si="1"/>
        <v>447.84</v>
      </c>
      <c r="K28" s="3"/>
      <c r="L28" s="3" t="str">
        <f t="shared" si="2"/>
        <v>27AACCJ0242Q1ZE-000226-05042024</v>
      </c>
      <c r="M28" s="8">
        <f t="shared" si="7"/>
        <v>18</v>
      </c>
      <c r="N28" s="3" t="str">
        <f t="shared" si="4"/>
        <v/>
      </c>
      <c r="O28" s="9" t="str">
        <f t="shared" si="5"/>
        <v/>
      </c>
      <c r="P28" s="3" t="str">
        <f t="shared" si="6"/>
        <v/>
      </c>
      <c r="Q28" s="3"/>
    </row>
    <row r="29" ht="15.75" customHeight="1">
      <c r="A29" s="4" t="s">
        <v>56</v>
      </c>
      <c r="B29" s="5" t="s">
        <v>57</v>
      </c>
      <c r="C29" s="5" t="s">
        <v>83</v>
      </c>
      <c r="D29" s="6">
        <v>45387.0</v>
      </c>
      <c r="E29" s="3"/>
      <c r="F29" s="3">
        <v>17364.0</v>
      </c>
      <c r="G29" s="3">
        <v>0.0</v>
      </c>
      <c r="H29" s="3">
        <v>1563.0</v>
      </c>
      <c r="I29" s="3">
        <v>1563.0</v>
      </c>
      <c r="J29" s="7">
        <f t="shared" si="1"/>
        <v>3126</v>
      </c>
      <c r="K29" s="3"/>
      <c r="L29" s="3" t="str">
        <f t="shared" si="2"/>
        <v>27AAACB2900K1ZZ-4320289851-05042024</v>
      </c>
      <c r="M29" s="8">
        <f t="shared" si="7"/>
        <v>18.00276434</v>
      </c>
      <c r="N29" s="3" t="str">
        <f t="shared" si="4"/>
        <v/>
      </c>
      <c r="O29" s="9" t="str">
        <f t="shared" si="5"/>
        <v/>
      </c>
      <c r="P29" s="3" t="str">
        <f t="shared" si="6"/>
        <v/>
      </c>
      <c r="Q29" s="3"/>
    </row>
    <row r="30" ht="15.75" customHeight="1">
      <c r="A30" s="4" t="s">
        <v>56</v>
      </c>
      <c r="B30" s="5" t="s">
        <v>57</v>
      </c>
      <c r="C30" s="5" t="s">
        <v>84</v>
      </c>
      <c r="D30" s="6">
        <v>45387.0</v>
      </c>
      <c r="E30" s="3"/>
      <c r="F30" s="3">
        <v>136806.0</v>
      </c>
      <c r="G30" s="3">
        <v>0.0</v>
      </c>
      <c r="H30" s="3">
        <v>12313.0</v>
      </c>
      <c r="I30" s="3">
        <v>12313.0</v>
      </c>
      <c r="J30" s="7">
        <f t="shared" si="1"/>
        <v>24626</v>
      </c>
      <c r="K30" s="3"/>
      <c r="L30" s="3" t="str">
        <f t="shared" si="2"/>
        <v>27AAACB2900K1ZZ-4320289899-05042024</v>
      </c>
      <c r="M30" s="8">
        <f t="shared" si="7"/>
        <v>18.00067249</v>
      </c>
      <c r="N30" s="3" t="str">
        <f t="shared" si="4"/>
        <v/>
      </c>
      <c r="O30" s="9" t="str">
        <f t="shared" si="5"/>
        <v/>
      </c>
      <c r="P30" s="3" t="str">
        <f t="shared" si="6"/>
        <v/>
      </c>
      <c r="Q30" s="3"/>
    </row>
    <row r="31" ht="15.75" customHeight="1">
      <c r="A31" s="4" t="s">
        <v>56</v>
      </c>
      <c r="B31" s="5" t="s">
        <v>57</v>
      </c>
      <c r="C31" s="5" t="s">
        <v>85</v>
      </c>
      <c r="D31" s="6">
        <v>45387.0</v>
      </c>
      <c r="E31" s="3"/>
      <c r="F31" s="3">
        <v>136806.0</v>
      </c>
      <c r="G31" s="3">
        <v>0.0</v>
      </c>
      <c r="H31" s="3">
        <v>12313.0</v>
      </c>
      <c r="I31" s="3">
        <v>12313.0</v>
      </c>
      <c r="J31" s="7">
        <f t="shared" si="1"/>
        <v>24626</v>
      </c>
      <c r="K31" s="3"/>
      <c r="L31" s="3" t="str">
        <f t="shared" si="2"/>
        <v>27AAACB2900K1ZZ-4320289900-05042024</v>
      </c>
      <c r="M31" s="8">
        <f t="shared" si="7"/>
        <v>18.00067249</v>
      </c>
      <c r="N31" s="3" t="str">
        <f t="shared" si="4"/>
        <v/>
      </c>
      <c r="O31" s="9" t="str">
        <f t="shared" si="5"/>
        <v/>
      </c>
      <c r="P31" s="3" t="str">
        <f t="shared" si="6"/>
        <v/>
      </c>
      <c r="Q31" s="3"/>
    </row>
    <row r="32" ht="15.75" customHeight="1">
      <c r="A32" s="4" t="s">
        <v>56</v>
      </c>
      <c r="B32" s="5" t="s">
        <v>57</v>
      </c>
      <c r="C32" s="5" t="s">
        <v>86</v>
      </c>
      <c r="D32" s="6">
        <v>45387.0</v>
      </c>
      <c r="E32" s="3"/>
      <c r="F32" s="3">
        <v>80360.0</v>
      </c>
      <c r="G32" s="3">
        <v>0.0</v>
      </c>
      <c r="H32" s="3">
        <v>7232.0</v>
      </c>
      <c r="I32" s="3">
        <v>7232.0</v>
      </c>
      <c r="J32" s="7">
        <f t="shared" si="1"/>
        <v>14464</v>
      </c>
      <c r="K32" s="3"/>
      <c r="L32" s="3" t="str">
        <f t="shared" si="2"/>
        <v>27AAACB2900K1ZZ-4320289852-05042024</v>
      </c>
      <c r="M32" s="8">
        <f t="shared" si="7"/>
        <v>17.99900448</v>
      </c>
      <c r="N32" s="3" t="str">
        <f t="shared" si="4"/>
        <v/>
      </c>
      <c r="O32" s="9" t="str">
        <f t="shared" si="5"/>
        <v/>
      </c>
      <c r="P32" s="3" t="str">
        <f t="shared" si="6"/>
        <v/>
      </c>
      <c r="Q32" s="3"/>
    </row>
    <row r="33" ht="15.75" customHeight="1">
      <c r="A33" s="4" t="s">
        <v>87</v>
      </c>
      <c r="B33" s="5" t="s">
        <v>88</v>
      </c>
      <c r="C33" s="5" t="s">
        <v>89</v>
      </c>
      <c r="D33" s="6">
        <v>45387.0</v>
      </c>
      <c r="E33" s="3"/>
      <c r="F33" s="3">
        <v>4600.0</v>
      </c>
      <c r="G33" s="3">
        <v>0.0</v>
      </c>
      <c r="H33" s="3">
        <v>414.0</v>
      </c>
      <c r="I33" s="3">
        <v>414.0</v>
      </c>
      <c r="J33" s="7">
        <f t="shared" si="1"/>
        <v>828</v>
      </c>
      <c r="K33" s="3"/>
      <c r="L33" s="3" t="str">
        <f t="shared" si="2"/>
        <v>27AIFPS4803C1ZG-ASC/24-25/0134-05042024</v>
      </c>
      <c r="M33" s="8">
        <f t="shared" si="7"/>
        <v>18</v>
      </c>
      <c r="N33" s="3" t="str">
        <f t="shared" si="4"/>
        <v/>
      </c>
      <c r="O33" s="9" t="str">
        <f t="shared" si="5"/>
        <v/>
      </c>
      <c r="P33" s="3" t="str">
        <f t="shared" si="6"/>
        <v/>
      </c>
      <c r="Q33" s="3"/>
    </row>
    <row r="34" ht="15.75" customHeight="1">
      <c r="A34" s="4" t="s">
        <v>66</v>
      </c>
      <c r="B34" s="5" t="s">
        <v>67</v>
      </c>
      <c r="C34" s="5" t="s">
        <v>90</v>
      </c>
      <c r="D34" s="6">
        <v>45387.0</v>
      </c>
      <c r="E34" s="3"/>
      <c r="F34" s="3">
        <v>19000.6</v>
      </c>
      <c r="G34" s="3">
        <v>0.0</v>
      </c>
      <c r="H34" s="3">
        <v>1710.06</v>
      </c>
      <c r="I34" s="3">
        <v>1710.06</v>
      </c>
      <c r="J34" s="7">
        <f t="shared" si="1"/>
        <v>3420.12</v>
      </c>
      <c r="K34" s="3"/>
      <c r="L34" s="3" t="str">
        <f t="shared" si="2"/>
        <v>27AABFM0352J1ZH-7/24-25-05042024</v>
      </c>
      <c r="M34" s="8">
        <f t="shared" si="7"/>
        <v>18.00006316</v>
      </c>
      <c r="N34" s="3" t="str">
        <f t="shared" si="4"/>
        <v/>
      </c>
      <c r="O34" s="9" t="str">
        <f t="shared" si="5"/>
        <v/>
      </c>
      <c r="P34" s="3" t="str">
        <f t="shared" si="6"/>
        <v/>
      </c>
      <c r="Q34" s="3"/>
    </row>
    <row r="35" ht="15.75" customHeight="1">
      <c r="A35" s="4" t="s">
        <v>91</v>
      </c>
      <c r="B35" s="5" t="s">
        <v>92</v>
      </c>
      <c r="C35" s="5" t="s">
        <v>93</v>
      </c>
      <c r="D35" s="6">
        <v>45388.0</v>
      </c>
      <c r="E35" s="3"/>
      <c r="F35" s="3">
        <v>1377.0</v>
      </c>
      <c r="G35" s="3">
        <v>0.0</v>
      </c>
      <c r="H35" s="3">
        <v>123.93</v>
      </c>
      <c r="I35" s="3">
        <v>123.93</v>
      </c>
      <c r="J35" s="7">
        <f t="shared" si="1"/>
        <v>247.86</v>
      </c>
      <c r="K35" s="3"/>
      <c r="L35" s="3" t="str">
        <f t="shared" si="2"/>
        <v>27AABPK4300Q12O-01/24-25-06042024</v>
      </c>
      <c r="M35" s="8">
        <f t="shared" si="7"/>
        <v>18</v>
      </c>
      <c r="N35" s="3" t="str">
        <f t="shared" si="4"/>
        <v/>
      </c>
      <c r="O35" s="9" t="str">
        <f t="shared" si="5"/>
        <v/>
      </c>
      <c r="P35" s="3" t="str">
        <f t="shared" si="6"/>
        <v/>
      </c>
      <c r="Q35" s="3"/>
    </row>
    <row r="36" ht="15.75" customHeight="1">
      <c r="A36" s="4" t="s">
        <v>94</v>
      </c>
      <c r="B36" s="5" t="s">
        <v>95</v>
      </c>
      <c r="C36" s="5" t="s">
        <v>96</v>
      </c>
      <c r="D36" s="6">
        <v>45388.0</v>
      </c>
      <c r="E36" s="3"/>
      <c r="F36" s="3">
        <v>9305.6</v>
      </c>
      <c r="G36" s="3">
        <v>0.0</v>
      </c>
      <c r="H36" s="3">
        <v>786.2</v>
      </c>
      <c r="I36" s="3">
        <v>786.2</v>
      </c>
      <c r="J36" s="7">
        <f t="shared" si="1"/>
        <v>1572.4</v>
      </c>
      <c r="K36" s="3"/>
      <c r="L36" s="3" t="str">
        <f t="shared" si="2"/>
        <v>27ABSPP9163G1ZY-23007-06042024</v>
      </c>
      <c r="M36" s="8">
        <f t="shared" si="7"/>
        <v>16.89735213</v>
      </c>
      <c r="N36" s="3" t="str">
        <f t="shared" si="4"/>
        <v/>
      </c>
      <c r="O36" s="9" t="str">
        <f t="shared" si="5"/>
        <v/>
      </c>
      <c r="P36" s="3" t="str">
        <f t="shared" si="6"/>
        <v/>
      </c>
      <c r="Q36" s="3"/>
    </row>
    <row r="37" ht="15.75" customHeight="1">
      <c r="A37" s="4" t="s">
        <v>97</v>
      </c>
      <c r="B37" s="5" t="s">
        <v>98</v>
      </c>
      <c r="C37" s="5" t="s">
        <v>99</v>
      </c>
      <c r="D37" s="6">
        <v>45388.0</v>
      </c>
      <c r="E37" s="3"/>
      <c r="F37" s="3">
        <v>150.0</v>
      </c>
      <c r="G37" s="3">
        <v>0.0</v>
      </c>
      <c r="H37" s="3">
        <v>13.5</v>
      </c>
      <c r="I37" s="3">
        <v>13.5</v>
      </c>
      <c r="J37" s="7">
        <f t="shared" si="1"/>
        <v>27</v>
      </c>
      <c r="K37" s="3"/>
      <c r="L37" s="3" t="str">
        <f t="shared" si="2"/>
        <v>27CBSPS4453E1Z6-2024-25/APR031-06042024</v>
      </c>
      <c r="M37" s="8">
        <f t="shared" si="7"/>
        <v>18</v>
      </c>
      <c r="N37" s="3" t="str">
        <f t="shared" si="4"/>
        <v/>
      </c>
      <c r="O37" s="9" t="str">
        <f t="shared" si="5"/>
        <v/>
      </c>
      <c r="P37" s="3" t="str">
        <f t="shared" si="6"/>
        <v/>
      </c>
      <c r="Q37" s="3"/>
    </row>
    <row r="38" ht="15.75" customHeight="1">
      <c r="A38" s="4" t="s">
        <v>100</v>
      </c>
      <c r="B38" s="5" t="s">
        <v>101</v>
      </c>
      <c r="C38" s="5" t="s">
        <v>102</v>
      </c>
      <c r="D38" s="6">
        <v>45388.0</v>
      </c>
      <c r="E38" s="3"/>
      <c r="F38" s="3">
        <v>40926.24</v>
      </c>
      <c r="G38" s="3">
        <v>0.0</v>
      </c>
      <c r="H38" s="3">
        <v>3683.36</v>
      </c>
      <c r="I38" s="3">
        <v>3683.36</v>
      </c>
      <c r="J38" s="7">
        <f t="shared" si="1"/>
        <v>7366.72</v>
      </c>
      <c r="K38" s="3"/>
      <c r="L38" s="3" t="str">
        <f t="shared" si="2"/>
        <v>27AABAL3037E1ZZ-FY23-24/069-06042024</v>
      </c>
      <c r="M38" s="8">
        <f t="shared" si="7"/>
        <v>17.99999218</v>
      </c>
      <c r="N38" s="3" t="str">
        <f t="shared" si="4"/>
        <v/>
      </c>
      <c r="O38" s="9" t="str">
        <f t="shared" si="5"/>
        <v/>
      </c>
      <c r="P38" s="3" t="str">
        <f t="shared" si="6"/>
        <v/>
      </c>
      <c r="Q38" s="3"/>
    </row>
    <row r="39" ht="15.75" customHeight="1">
      <c r="A39" s="4" t="s">
        <v>103</v>
      </c>
      <c r="B39" s="5" t="s">
        <v>104</v>
      </c>
      <c r="C39" s="5" t="s">
        <v>105</v>
      </c>
      <c r="D39" s="6">
        <v>45388.0</v>
      </c>
      <c r="E39" s="3"/>
      <c r="F39" s="3">
        <v>6400.0</v>
      </c>
      <c r="G39" s="3">
        <v>0.0</v>
      </c>
      <c r="H39" s="3">
        <v>0.0</v>
      </c>
      <c r="I39" s="3">
        <v>0.0</v>
      </c>
      <c r="J39" s="7">
        <f t="shared" si="1"/>
        <v>0</v>
      </c>
      <c r="K39" s="3"/>
      <c r="L39" s="3" t="str">
        <f t="shared" si="2"/>
        <v>27AAACT7966R1ZB-647847303-06042024</v>
      </c>
      <c r="M39" s="8">
        <f t="shared" si="7"/>
        <v>0</v>
      </c>
      <c r="N39" s="3" t="str">
        <f t="shared" si="4"/>
        <v/>
      </c>
      <c r="O39" s="9" t="str">
        <f t="shared" si="5"/>
        <v/>
      </c>
      <c r="P39" s="3" t="str">
        <f t="shared" si="6"/>
        <v/>
      </c>
      <c r="Q39" s="3"/>
    </row>
    <row r="40" ht="15.75" customHeight="1">
      <c r="A40" s="4" t="s">
        <v>41</v>
      </c>
      <c r="B40" s="5" t="s">
        <v>42</v>
      </c>
      <c r="C40" s="5" t="s">
        <v>106</v>
      </c>
      <c r="D40" s="6">
        <v>45389.0</v>
      </c>
      <c r="E40" s="3"/>
      <c r="F40" s="3">
        <v>526.5</v>
      </c>
      <c r="G40" s="3">
        <v>0.0</v>
      </c>
      <c r="H40" s="3">
        <v>47.39</v>
      </c>
      <c r="I40" s="3">
        <v>47.39</v>
      </c>
      <c r="J40" s="7">
        <f t="shared" si="1"/>
        <v>94.78</v>
      </c>
      <c r="K40" s="3"/>
      <c r="L40" s="3" t="str">
        <f t="shared" si="2"/>
        <v>27AACCA4768Q1Z0-51-07042024</v>
      </c>
      <c r="M40" s="8">
        <f t="shared" si="7"/>
        <v>18.00189934</v>
      </c>
      <c r="N40" s="3" t="str">
        <f t="shared" si="4"/>
        <v/>
      </c>
      <c r="O40" s="9" t="str">
        <f t="shared" si="5"/>
        <v/>
      </c>
      <c r="P40" s="3" t="str">
        <f t="shared" si="6"/>
        <v/>
      </c>
      <c r="Q40" s="3"/>
    </row>
    <row r="41" ht="15.75" customHeight="1">
      <c r="A41" s="4" t="s">
        <v>41</v>
      </c>
      <c r="B41" s="5" t="s">
        <v>42</v>
      </c>
      <c r="C41" s="5" t="s">
        <v>107</v>
      </c>
      <c r="D41" s="6">
        <v>45389.0</v>
      </c>
      <c r="E41" s="3"/>
      <c r="F41" s="3">
        <v>2025.0</v>
      </c>
      <c r="G41" s="3">
        <v>0.0</v>
      </c>
      <c r="H41" s="3">
        <v>182.25</v>
      </c>
      <c r="I41" s="3">
        <v>182.25</v>
      </c>
      <c r="J41" s="7">
        <f t="shared" si="1"/>
        <v>364.5</v>
      </c>
      <c r="K41" s="3"/>
      <c r="L41" s="3" t="str">
        <f t="shared" si="2"/>
        <v>27AACCA4768Q1Z0-50-07042024</v>
      </c>
      <c r="M41" s="8">
        <f t="shared" si="7"/>
        <v>18</v>
      </c>
      <c r="N41" s="3" t="str">
        <f t="shared" si="4"/>
        <v/>
      </c>
      <c r="O41" s="9" t="str">
        <f t="shared" si="5"/>
        <v/>
      </c>
      <c r="P41" s="3" t="str">
        <f t="shared" si="6"/>
        <v/>
      </c>
      <c r="Q41" s="3"/>
    </row>
    <row r="42" ht="15.75" customHeight="1">
      <c r="A42" s="4" t="s">
        <v>108</v>
      </c>
      <c r="B42" s="5" t="s">
        <v>109</v>
      </c>
      <c r="C42" s="5" t="s">
        <v>110</v>
      </c>
      <c r="D42" s="6">
        <v>45390.0</v>
      </c>
      <c r="E42" s="3"/>
      <c r="F42" s="3">
        <v>3052.16</v>
      </c>
      <c r="G42" s="3">
        <v>0.0</v>
      </c>
      <c r="H42" s="3">
        <v>274.69</v>
      </c>
      <c r="I42" s="3">
        <v>274.69</v>
      </c>
      <c r="J42" s="7">
        <f t="shared" si="1"/>
        <v>549.38</v>
      </c>
      <c r="K42" s="3"/>
      <c r="L42" s="3" t="str">
        <f t="shared" si="2"/>
        <v>27AAFFM4787K1ZO-B177/24-25-08042024</v>
      </c>
      <c r="M42" s="8">
        <f t="shared" si="7"/>
        <v>17.99971168</v>
      </c>
      <c r="N42" s="3" t="str">
        <f t="shared" si="4"/>
        <v/>
      </c>
      <c r="O42" s="9" t="str">
        <f t="shared" si="5"/>
        <v/>
      </c>
      <c r="P42" s="3" t="str">
        <f t="shared" si="6"/>
        <v/>
      </c>
      <c r="Q42" s="3"/>
    </row>
    <row r="43" ht="15.75" customHeight="1">
      <c r="A43" s="4" t="s">
        <v>111</v>
      </c>
      <c r="B43" s="5" t="s">
        <v>112</v>
      </c>
      <c r="C43" s="5" t="s">
        <v>113</v>
      </c>
      <c r="D43" s="6">
        <v>45390.0</v>
      </c>
      <c r="E43" s="3"/>
      <c r="F43" s="3">
        <v>1080.0</v>
      </c>
      <c r="G43" s="3">
        <v>0.0</v>
      </c>
      <c r="H43" s="3">
        <v>97.2</v>
      </c>
      <c r="I43" s="3">
        <v>97.2</v>
      </c>
      <c r="J43" s="7">
        <f t="shared" si="1"/>
        <v>194.4</v>
      </c>
      <c r="K43" s="3"/>
      <c r="L43" s="3" t="str">
        <f t="shared" si="2"/>
        <v>27AAQPK2268J2Z7-SM/59/24-25-08042024</v>
      </c>
      <c r="M43" s="8">
        <f t="shared" si="7"/>
        <v>18</v>
      </c>
      <c r="N43" s="3" t="str">
        <f t="shared" si="4"/>
        <v/>
      </c>
      <c r="O43" s="9" t="str">
        <f t="shared" si="5"/>
        <v/>
      </c>
      <c r="P43" s="3" t="str">
        <f t="shared" si="6"/>
        <v/>
      </c>
      <c r="Q43" s="3"/>
    </row>
    <row r="44" ht="15.75" customHeight="1">
      <c r="A44" s="4" t="s">
        <v>53</v>
      </c>
      <c r="B44" s="5" t="s">
        <v>54</v>
      </c>
      <c r="C44" s="5" t="s">
        <v>114</v>
      </c>
      <c r="D44" s="6">
        <v>45390.0</v>
      </c>
      <c r="E44" s="3"/>
      <c r="F44" s="3">
        <v>5561.6</v>
      </c>
      <c r="G44" s="3">
        <v>0.0</v>
      </c>
      <c r="H44" s="3">
        <v>500.54</v>
      </c>
      <c r="I44" s="3">
        <v>500.54</v>
      </c>
      <c r="J44" s="7">
        <f t="shared" si="1"/>
        <v>1001.08</v>
      </c>
      <c r="K44" s="3"/>
      <c r="L44" s="3" t="str">
        <f t="shared" si="2"/>
        <v>27AHKPJ4662N1ZR-PP/0029/24-25-08042024</v>
      </c>
      <c r="M44" s="8">
        <f t="shared" si="7"/>
        <v>17.99985616</v>
      </c>
      <c r="N44" s="3" t="str">
        <f t="shared" si="4"/>
        <v/>
      </c>
      <c r="O44" s="9" t="str">
        <f t="shared" si="5"/>
        <v/>
      </c>
      <c r="P44" s="3" t="str">
        <f t="shared" si="6"/>
        <v/>
      </c>
      <c r="Q44" s="3"/>
    </row>
    <row r="45" ht="15.75" customHeight="1">
      <c r="A45" s="4" t="s">
        <v>69</v>
      </c>
      <c r="B45" s="5" t="s">
        <v>70</v>
      </c>
      <c r="C45" s="5" t="s">
        <v>115</v>
      </c>
      <c r="D45" s="6">
        <v>45390.0</v>
      </c>
      <c r="E45" s="3"/>
      <c r="F45" s="3">
        <v>23752.8</v>
      </c>
      <c r="G45" s="3">
        <v>0.0</v>
      </c>
      <c r="H45" s="3">
        <v>2137.75</v>
      </c>
      <c r="I45" s="3">
        <v>2137.75</v>
      </c>
      <c r="J45" s="7">
        <f t="shared" si="1"/>
        <v>4275.5</v>
      </c>
      <c r="K45" s="3"/>
      <c r="L45" s="3" t="str">
        <f t="shared" si="2"/>
        <v>27AAEFR8996A1ZU-162/24-25-08042024</v>
      </c>
      <c r="M45" s="8">
        <f t="shared" si="7"/>
        <v>17.99998316</v>
      </c>
      <c r="N45" s="3" t="str">
        <f t="shared" si="4"/>
        <v/>
      </c>
      <c r="O45" s="9" t="str">
        <f t="shared" si="5"/>
        <v/>
      </c>
      <c r="P45" s="3" t="str">
        <f t="shared" si="6"/>
        <v/>
      </c>
      <c r="Q45" s="3"/>
    </row>
    <row r="46" ht="15.75" customHeight="1">
      <c r="A46" s="4" t="s">
        <v>56</v>
      </c>
      <c r="B46" s="5" t="s">
        <v>57</v>
      </c>
      <c r="C46" s="5" t="s">
        <v>116</v>
      </c>
      <c r="D46" s="6">
        <v>45390.0</v>
      </c>
      <c r="E46" s="3"/>
      <c r="F46" s="3">
        <v>15960.0</v>
      </c>
      <c r="G46" s="3">
        <v>0.0</v>
      </c>
      <c r="H46" s="3">
        <v>1436.0</v>
      </c>
      <c r="I46" s="3">
        <v>1436.0</v>
      </c>
      <c r="J46" s="7">
        <f t="shared" si="1"/>
        <v>2872</v>
      </c>
      <c r="K46" s="3"/>
      <c r="L46" s="3" t="str">
        <f t="shared" si="2"/>
        <v>27AAACB2900K1ZZ-4320289992-08042024</v>
      </c>
      <c r="M46" s="8">
        <f t="shared" si="7"/>
        <v>17.99498747</v>
      </c>
      <c r="N46" s="3" t="str">
        <f t="shared" si="4"/>
        <v/>
      </c>
      <c r="O46" s="9" t="str">
        <f t="shared" si="5"/>
        <v/>
      </c>
      <c r="P46" s="3" t="str">
        <f t="shared" si="6"/>
        <v/>
      </c>
      <c r="Q46" s="3"/>
    </row>
    <row r="47" ht="15.75" customHeight="1">
      <c r="A47" s="4" t="s">
        <v>117</v>
      </c>
      <c r="B47" s="5" t="s">
        <v>118</v>
      </c>
      <c r="C47" s="5" t="s">
        <v>119</v>
      </c>
      <c r="D47" s="6">
        <v>45390.0</v>
      </c>
      <c r="E47" s="3"/>
      <c r="F47" s="3">
        <v>2200.0</v>
      </c>
      <c r="G47" s="3">
        <v>0.0</v>
      </c>
      <c r="H47" s="3">
        <v>198.0</v>
      </c>
      <c r="I47" s="3">
        <v>198.0</v>
      </c>
      <c r="J47" s="7">
        <f t="shared" si="1"/>
        <v>396</v>
      </c>
      <c r="K47" s="3"/>
      <c r="L47" s="3" t="str">
        <f t="shared" si="2"/>
        <v>27AAGPS6107E1ZR-24-25/11-08042024</v>
      </c>
      <c r="M47" s="8">
        <f t="shared" si="7"/>
        <v>18</v>
      </c>
      <c r="N47" s="3" t="str">
        <f t="shared" si="4"/>
        <v/>
      </c>
      <c r="O47" s="9" t="str">
        <f t="shared" si="5"/>
        <v/>
      </c>
      <c r="P47" s="3" t="str">
        <f t="shared" si="6"/>
        <v/>
      </c>
      <c r="Q47" s="3"/>
    </row>
    <row r="48" ht="15.75" customHeight="1">
      <c r="A48" s="4" t="s">
        <v>47</v>
      </c>
      <c r="B48" s="5" t="s">
        <v>48</v>
      </c>
      <c r="C48" s="5" t="s">
        <v>120</v>
      </c>
      <c r="D48" s="6">
        <v>45390.0</v>
      </c>
      <c r="E48" s="3"/>
      <c r="F48" s="3">
        <v>13194.0</v>
      </c>
      <c r="G48" s="3">
        <v>0.0</v>
      </c>
      <c r="H48" s="3">
        <v>1187.46</v>
      </c>
      <c r="I48" s="3">
        <v>1187.46</v>
      </c>
      <c r="J48" s="7">
        <f t="shared" si="1"/>
        <v>2374.92</v>
      </c>
      <c r="K48" s="3"/>
      <c r="L48" s="3" t="str">
        <f t="shared" si="2"/>
        <v>27AAAFM2359N1ZZ-7715-08042024</v>
      </c>
      <c r="M48" s="8">
        <f t="shared" si="7"/>
        <v>18</v>
      </c>
      <c r="N48" s="3" t="str">
        <f t="shared" si="4"/>
        <v/>
      </c>
      <c r="O48" s="9" t="str">
        <f t="shared" si="5"/>
        <v/>
      </c>
      <c r="P48" s="3" t="str">
        <f t="shared" si="6"/>
        <v/>
      </c>
      <c r="Q48" s="3"/>
    </row>
    <row r="49" ht="15.75" customHeight="1">
      <c r="A49" s="4" t="s">
        <v>66</v>
      </c>
      <c r="B49" s="5" t="s">
        <v>67</v>
      </c>
      <c r="C49" s="5" t="s">
        <v>121</v>
      </c>
      <c r="D49" s="6">
        <v>45390.0</v>
      </c>
      <c r="E49" s="3"/>
      <c r="F49" s="3">
        <v>11433.2</v>
      </c>
      <c r="G49" s="3">
        <v>0.0</v>
      </c>
      <c r="H49" s="3">
        <v>1028.99</v>
      </c>
      <c r="I49" s="3">
        <v>1028.99</v>
      </c>
      <c r="J49" s="7">
        <f t="shared" si="1"/>
        <v>2057.98</v>
      </c>
      <c r="K49" s="3"/>
      <c r="L49" s="3" t="str">
        <f t="shared" si="2"/>
        <v>27AABFM0352J1ZH-11/24-25-08042024</v>
      </c>
      <c r="M49" s="8">
        <f t="shared" si="7"/>
        <v>18.00003499</v>
      </c>
      <c r="N49" s="3" t="str">
        <f t="shared" si="4"/>
        <v/>
      </c>
      <c r="O49" s="9" t="str">
        <f t="shared" si="5"/>
        <v/>
      </c>
      <c r="P49" s="3" t="str">
        <f t="shared" si="6"/>
        <v/>
      </c>
      <c r="Q49" s="3"/>
    </row>
    <row r="50" ht="15.75" customHeight="1">
      <c r="A50" s="4" t="s">
        <v>122</v>
      </c>
      <c r="B50" s="5" t="s">
        <v>123</v>
      </c>
      <c r="C50" s="5" t="s">
        <v>124</v>
      </c>
      <c r="D50" s="6">
        <v>45390.0</v>
      </c>
      <c r="E50" s="3"/>
      <c r="F50" s="3">
        <v>4050.0</v>
      </c>
      <c r="G50" s="3">
        <v>0.0</v>
      </c>
      <c r="H50" s="3">
        <v>364.5</v>
      </c>
      <c r="I50" s="3">
        <v>364.5</v>
      </c>
      <c r="J50" s="7">
        <f t="shared" si="1"/>
        <v>729</v>
      </c>
      <c r="K50" s="3"/>
      <c r="L50" s="3" t="str">
        <f t="shared" si="2"/>
        <v>27ACLPS1646K1Z3-49/24-25-08042024</v>
      </c>
      <c r="M50" s="8">
        <f t="shared" si="7"/>
        <v>18</v>
      </c>
      <c r="N50" s="3" t="str">
        <f t="shared" si="4"/>
        <v/>
      </c>
      <c r="O50" s="9" t="str">
        <f t="shared" si="5"/>
        <v/>
      </c>
      <c r="P50" s="3" t="str">
        <f t="shared" si="6"/>
        <v/>
      </c>
      <c r="Q50" s="3"/>
    </row>
    <row r="51" ht="15.75" customHeight="1">
      <c r="A51" s="4" t="s">
        <v>38</v>
      </c>
      <c r="B51" s="5" t="s">
        <v>39</v>
      </c>
      <c r="C51" s="5" t="s">
        <v>125</v>
      </c>
      <c r="D51" s="6">
        <v>45391.0</v>
      </c>
      <c r="E51" s="3"/>
      <c r="F51" s="3">
        <v>5020.0</v>
      </c>
      <c r="G51" s="3">
        <v>0.0</v>
      </c>
      <c r="H51" s="3">
        <v>301.2</v>
      </c>
      <c r="I51" s="3">
        <v>301.2</v>
      </c>
      <c r="J51" s="7">
        <f t="shared" si="1"/>
        <v>602.4</v>
      </c>
      <c r="K51" s="3"/>
      <c r="L51" s="3" t="str">
        <f t="shared" si="2"/>
        <v>27AOVPP9192F2Z0-247-09042024</v>
      </c>
      <c r="M51" s="8">
        <f t="shared" si="7"/>
        <v>12</v>
      </c>
      <c r="N51" s="3" t="str">
        <f t="shared" si="4"/>
        <v/>
      </c>
      <c r="O51" s="9" t="str">
        <f t="shared" si="5"/>
        <v/>
      </c>
      <c r="P51" s="3" t="str">
        <f t="shared" si="6"/>
        <v/>
      </c>
      <c r="Q51" s="3"/>
    </row>
    <row r="52" ht="15.75" customHeight="1">
      <c r="A52" s="4" t="s">
        <v>126</v>
      </c>
      <c r="B52" s="5" t="s">
        <v>127</v>
      </c>
      <c r="C52" s="5" t="s">
        <v>128</v>
      </c>
      <c r="D52" s="6">
        <v>45392.0</v>
      </c>
      <c r="E52" s="3"/>
      <c r="F52" s="3">
        <v>6508.76</v>
      </c>
      <c r="G52" s="3">
        <v>0.0</v>
      </c>
      <c r="H52" s="3">
        <v>585.79</v>
      </c>
      <c r="I52" s="3">
        <v>585.79</v>
      </c>
      <c r="J52" s="7">
        <f t="shared" si="1"/>
        <v>1171.58</v>
      </c>
      <c r="K52" s="3"/>
      <c r="L52" s="3" t="str">
        <f t="shared" si="2"/>
        <v>27AXPPJ7281A1ZB-19-10042024</v>
      </c>
      <c r="M52" s="8">
        <f t="shared" si="7"/>
        <v>18.00004916</v>
      </c>
      <c r="N52" s="3" t="str">
        <f t="shared" si="4"/>
        <v/>
      </c>
      <c r="O52" s="9" t="str">
        <f t="shared" si="5"/>
        <v/>
      </c>
      <c r="P52" s="3" t="str">
        <f t="shared" si="6"/>
        <v/>
      </c>
      <c r="Q52" s="3"/>
    </row>
    <row r="53" ht="15.75" customHeight="1">
      <c r="A53" s="4" t="s">
        <v>129</v>
      </c>
      <c r="B53" s="5" t="s">
        <v>130</v>
      </c>
      <c r="C53" s="5" t="s">
        <v>131</v>
      </c>
      <c r="D53" s="6">
        <v>45392.0</v>
      </c>
      <c r="E53" s="3"/>
      <c r="F53" s="3">
        <v>6900.0</v>
      </c>
      <c r="G53" s="3">
        <v>0.0</v>
      </c>
      <c r="H53" s="3">
        <v>621.0</v>
      </c>
      <c r="I53" s="3">
        <v>621.0</v>
      </c>
      <c r="J53" s="7">
        <f t="shared" si="1"/>
        <v>1242</v>
      </c>
      <c r="K53" s="3"/>
      <c r="L53" s="3" t="str">
        <f t="shared" si="2"/>
        <v>27AIKPY6401D1Z5-12-10042024</v>
      </c>
      <c r="M53" s="8">
        <f t="shared" si="7"/>
        <v>18</v>
      </c>
      <c r="N53" s="3" t="str">
        <f t="shared" si="4"/>
        <v/>
      </c>
      <c r="O53" s="9" t="str">
        <f t="shared" si="5"/>
        <v/>
      </c>
      <c r="P53" s="3" t="str">
        <f t="shared" si="6"/>
        <v/>
      </c>
      <c r="Q53" s="3"/>
    </row>
    <row r="54" ht="15.75" customHeight="1">
      <c r="A54" s="4" t="s">
        <v>132</v>
      </c>
      <c r="B54" s="5" t="s">
        <v>133</v>
      </c>
      <c r="C54" s="5" t="s">
        <v>134</v>
      </c>
      <c r="D54" s="6">
        <v>45392.0</v>
      </c>
      <c r="E54" s="3"/>
      <c r="F54" s="3">
        <v>6000.0</v>
      </c>
      <c r="G54" s="3">
        <v>0.0</v>
      </c>
      <c r="H54" s="3">
        <v>540.0</v>
      </c>
      <c r="I54" s="3">
        <v>540.0</v>
      </c>
      <c r="J54" s="7">
        <f t="shared" si="1"/>
        <v>1080</v>
      </c>
      <c r="K54" s="3"/>
      <c r="L54" s="3" t="str">
        <f t="shared" si="2"/>
        <v>27AADPS1585K1Z9-24-25/W 0157-10042024</v>
      </c>
      <c r="M54" s="8">
        <f t="shared" si="7"/>
        <v>18</v>
      </c>
      <c r="N54" s="3" t="str">
        <f t="shared" si="4"/>
        <v/>
      </c>
      <c r="O54" s="9" t="str">
        <f t="shared" si="5"/>
        <v/>
      </c>
      <c r="P54" s="3" t="str">
        <f t="shared" si="6"/>
        <v/>
      </c>
      <c r="Q54" s="3"/>
    </row>
    <row r="55" ht="15.75" customHeight="1">
      <c r="A55" s="4" t="s">
        <v>47</v>
      </c>
      <c r="B55" s="5" t="s">
        <v>48</v>
      </c>
      <c r="C55" s="5" t="s">
        <v>135</v>
      </c>
      <c r="D55" s="6">
        <v>45392.0</v>
      </c>
      <c r="E55" s="3"/>
      <c r="F55" s="3">
        <v>31027.5</v>
      </c>
      <c r="G55" s="3">
        <v>0.0</v>
      </c>
      <c r="H55" s="3">
        <v>2792.48</v>
      </c>
      <c r="I55" s="3">
        <v>2792.48</v>
      </c>
      <c r="J55" s="7">
        <f t="shared" si="1"/>
        <v>5584.96</v>
      </c>
      <c r="K55" s="3"/>
      <c r="L55" s="3" t="str">
        <f t="shared" si="2"/>
        <v>27AAAFM2359N1ZZ-7719-10042024</v>
      </c>
      <c r="M55" s="8">
        <f t="shared" si="7"/>
        <v>18.00003223</v>
      </c>
      <c r="N55" s="3" t="str">
        <f t="shared" si="4"/>
        <v/>
      </c>
      <c r="O55" s="9" t="str">
        <f t="shared" si="5"/>
        <v/>
      </c>
      <c r="P55" s="3" t="str">
        <f t="shared" si="6"/>
        <v/>
      </c>
      <c r="Q55" s="3"/>
    </row>
    <row r="56" ht="15.75" customHeight="1">
      <c r="A56" s="4" t="s">
        <v>69</v>
      </c>
      <c r="B56" s="5" t="s">
        <v>70</v>
      </c>
      <c r="C56" s="5" t="s">
        <v>136</v>
      </c>
      <c r="D56" s="6">
        <v>45392.0</v>
      </c>
      <c r="E56" s="3"/>
      <c r="F56" s="3">
        <v>104498.1</v>
      </c>
      <c r="G56" s="3">
        <v>0.0</v>
      </c>
      <c r="H56" s="3">
        <v>9404.83</v>
      </c>
      <c r="I56" s="3">
        <v>9404.83</v>
      </c>
      <c r="J56" s="7">
        <f t="shared" si="1"/>
        <v>18809.66</v>
      </c>
      <c r="K56" s="3"/>
      <c r="L56" s="3" t="str">
        <f t="shared" si="2"/>
        <v>27AAEFR8996A1ZU-175/24-25-10042024</v>
      </c>
      <c r="M56" s="8">
        <f t="shared" si="7"/>
        <v>18.00000191</v>
      </c>
      <c r="N56" s="3" t="str">
        <f t="shared" si="4"/>
        <v/>
      </c>
      <c r="O56" s="9" t="str">
        <f t="shared" si="5"/>
        <v/>
      </c>
      <c r="P56" s="3" t="str">
        <f t="shared" si="6"/>
        <v/>
      </c>
      <c r="Q56" s="3"/>
    </row>
    <row r="57" ht="15.75" customHeight="1">
      <c r="A57" s="4" t="s">
        <v>41</v>
      </c>
      <c r="B57" s="5" t="s">
        <v>42</v>
      </c>
      <c r="C57" s="5" t="s">
        <v>137</v>
      </c>
      <c r="D57" s="6">
        <v>45392.0</v>
      </c>
      <c r="E57" s="3"/>
      <c r="F57" s="3">
        <v>507.0</v>
      </c>
      <c r="G57" s="3">
        <v>0.0</v>
      </c>
      <c r="H57" s="3">
        <v>45.63</v>
      </c>
      <c r="I57" s="3">
        <v>45.63</v>
      </c>
      <c r="J57" s="7">
        <f t="shared" si="1"/>
        <v>91.26</v>
      </c>
      <c r="K57" s="3"/>
      <c r="L57" s="3" t="str">
        <f t="shared" si="2"/>
        <v>27AACCA4768Q1Z0-75-10042024</v>
      </c>
      <c r="M57" s="8">
        <f t="shared" si="7"/>
        <v>18</v>
      </c>
      <c r="N57" s="3" t="str">
        <f t="shared" si="4"/>
        <v/>
      </c>
      <c r="O57" s="9" t="str">
        <f t="shared" si="5"/>
        <v/>
      </c>
      <c r="P57" s="3" t="str">
        <f t="shared" si="6"/>
        <v/>
      </c>
      <c r="Q57" s="3"/>
    </row>
    <row r="58" ht="15.75" customHeight="1">
      <c r="A58" s="4" t="s">
        <v>38</v>
      </c>
      <c r="B58" s="5" t="s">
        <v>39</v>
      </c>
      <c r="C58" s="5" t="s">
        <v>138</v>
      </c>
      <c r="D58" s="6">
        <v>45392.0</v>
      </c>
      <c r="E58" s="3"/>
      <c r="F58" s="3">
        <v>2470.0</v>
      </c>
      <c r="G58" s="3">
        <v>0.0</v>
      </c>
      <c r="H58" s="3">
        <v>148.0</v>
      </c>
      <c r="I58" s="3">
        <v>148.0</v>
      </c>
      <c r="J58" s="7">
        <f t="shared" si="1"/>
        <v>296</v>
      </c>
      <c r="K58" s="3"/>
      <c r="L58" s="3" t="str">
        <f t="shared" si="2"/>
        <v>27AOVPP9192F2Z0-252-10042024</v>
      </c>
      <c r="M58" s="8">
        <f t="shared" si="7"/>
        <v>11.98380567</v>
      </c>
      <c r="N58" s="3" t="str">
        <f t="shared" si="4"/>
        <v/>
      </c>
      <c r="O58" s="9" t="str">
        <f t="shared" si="5"/>
        <v/>
      </c>
      <c r="P58" s="3" t="str">
        <f t="shared" si="6"/>
        <v/>
      </c>
      <c r="Q58" s="3"/>
    </row>
    <row r="59" ht="15.75" customHeight="1">
      <c r="A59" s="4" t="s">
        <v>139</v>
      </c>
      <c r="B59" s="5" t="s">
        <v>140</v>
      </c>
      <c r="C59" s="5" t="s">
        <v>141</v>
      </c>
      <c r="D59" s="6">
        <v>45392.0</v>
      </c>
      <c r="E59" s="3"/>
      <c r="F59" s="3">
        <v>2699.0</v>
      </c>
      <c r="G59" s="3">
        <v>0.0</v>
      </c>
      <c r="H59" s="3">
        <v>242.91</v>
      </c>
      <c r="I59" s="3">
        <v>242.91</v>
      </c>
      <c r="J59" s="7">
        <f t="shared" si="1"/>
        <v>485.82</v>
      </c>
      <c r="K59" s="3"/>
      <c r="L59" s="3" t="str">
        <f t="shared" si="2"/>
        <v>27AAAFU1306P1Z2-6962-10042024</v>
      </c>
      <c r="M59" s="8">
        <f t="shared" si="7"/>
        <v>18</v>
      </c>
      <c r="N59" s="3" t="str">
        <f t="shared" si="4"/>
        <v/>
      </c>
      <c r="O59" s="9" t="str">
        <f t="shared" si="5"/>
        <v/>
      </c>
      <c r="P59" s="3" t="str">
        <f t="shared" si="6"/>
        <v/>
      </c>
      <c r="Q59" s="3"/>
    </row>
    <row r="60" ht="15.75" customHeight="1">
      <c r="A60" s="4" t="s">
        <v>142</v>
      </c>
      <c r="B60" s="5" t="s">
        <v>143</v>
      </c>
      <c r="C60" s="5" t="s">
        <v>144</v>
      </c>
      <c r="D60" s="6">
        <v>45392.0</v>
      </c>
      <c r="E60" s="3"/>
      <c r="F60" s="3">
        <v>113155.0</v>
      </c>
      <c r="G60" s="3">
        <v>133523.0</v>
      </c>
      <c r="H60" s="3">
        <v>0.0</v>
      </c>
      <c r="I60" s="3">
        <v>0.0</v>
      </c>
      <c r="J60" s="7">
        <f t="shared" si="1"/>
        <v>133523</v>
      </c>
      <c r="K60" s="3"/>
      <c r="L60" s="3" t="str">
        <f t="shared" si="2"/>
        <v>24ALXPP2922N1ZE-35-10042024</v>
      </c>
      <c r="M60" s="8">
        <f t="shared" si="7"/>
        <v>118.0000884</v>
      </c>
      <c r="N60" s="3" t="str">
        <f t="shared" si="4"/>
        <v/>
      </c>
      <c r="O60" s="9" t="str">
        <f t="shared" si="5"/>
        <v/>
      </c>
      <c r="P60" s="3" t="str">
        <f t="shared" si="6"/>
        <v/>
      </c>
      <c r="Q60" s="3"/>
    </row>
    <row r="61" ht="15.75" customHeight="1">
      <c r="A61" s="4" t="s">
        <v>145</v>
      </c>
      <c r="B61" s="5" t="s">
        <v>146</v>
      </c>
      <c r="C61" s="5" t="s">
        <v>147</v>
      </c>
      <c r="D61" s="6">
        <v>45392.0</v>
      </c>
      <c r="E61" s="3"/>
      <c r="F61" s="3">
        <v>7000.0</v>
      </c>
      <c r="G61" s="3">
        <v>0.0</v>
      </c>
      <c r="H61" s="3">
        <v>630.0</v>
      </c>
      <c r="I61" s="3">
        <v>630.0</v>
      </c>
      <c r="J61" s="7">
        <f t="shared" si="1"/>
        <v>1260</v>
      </c>
      <c r="K61" s="3"/>
      <c r="L61" s="3" t="str">
        <f t="shared" si="2"/>
        <v>27BCJPS9427F1Z4-1812/24-25-10042024</v>
      </c>
      <c r="M61" s="8">
        <f t="shared" si="7"/>
        <v>18</v>
      </c>
      <c r="N61" s="3" t="str">
        <f t="shared" si="4"/>
        <v/>
      </c>
      <c r="O61" s="9" t="str">
        <f t="shared" si="5"/>
        <v/>
      </c>
      <c r="P61" s="3" t="str">
        <f t="shared" si="6"/>
        <v/>
      </c>
      <c r="Q61" s="3"/>
    </row>
    <row r="62" ht="15.75" customHeight="1">
      <c r="A62" s="4" t="s">
        <v>148</v>
      </c>
      <c r="B62" s="5" t="s">
        <v>149</v>
      </c>
      <c r="C62" s="5" t="s">
        <v>150</v>
      </c>
      <c r="D62" s="6">
        <v>45392.0</v>
      </c>
      <c r="E62" s="3"/>
      <c r="F62" s="3">
        <v>1000.0</v>
      </c>
      <c r="G62" s="3">
        <v>0.0</v>
      </c>
      <c r="H62" s="3">
        <v>90.0</v>
      </c>
      <c r="I62" s="3">
        <v>90.0</v>
      </c>
      <c r="J62" s="7">
        <f t="shared" si="1"/>
        <v>180</v>
      </c>
      <c r="K62" s="3"/>
      <c r="L62" s="3" t="str">
        <f t="shared" si="2"/>
        <v>27AAJCA9907C1ZN-ASSPL/24-25/0027-10042024</v>
      </c>
      <c r="M62" s="8">
        <f t="shared" si="7"/>
        <v>18</v>
      </c>
      <c r="N62" s="3" t="str">
        <f t="shared" si="4"/>
        <v/>
      </c>
      <c r="O62" s="9" t="str">
        <f t="shared" si="5"/>
        <v/>
      </c>
      <c r="P62" s="3" t="str">
        <f t="shared" si="6"/>
        <v/>
      </c>
      <c r="Q62" s="3"/>
    </row>
    <row r="63" ht="15.75" customHeight="1">
      <c r="A63" s="4" t="s">
        <v>151</v>
      </c>
      <c r="B63" s="5" t="s">
        <v>152</v>
      </c>
      <c r="C63" s="5" t="s">
        <v>153</v>
      </c>
      <c r="D63" s="6">
        <v>45393.0</v>
      </c>
      <c r="E63" s="3"/>
      <c r="F63" s="3">
        <v>11114.4</v>
      </c>
      <c r="G63" s="3">
        <v>0.0</v>
      </c>
      <c r="H63" s="3">
        <v>1000.3</v>
      </c>
      <c r="I63" s="3">
        <v>1000.3</v>
      </c>
      <c r="J63" s="7">
        <f t="shared" si="1"/>
        <v>2000.6</v>
      </c>
      <c r="K63" s="3"/>
      <c r="L63" s="3" t="str">
        <f t="shared" si="2"/>
        <v>27AACCS3927P1ZT-U1/24-25/0155-11042024</v>
      </c>
      <c r="M63" s="8">
        <f t="shared" si="7"/>
        <v>18.00007198</v>
      </c>
      <c r="N63" s="3" t="str">
        <f t="shared" si="4"/>
        <v/>
      </c>
      <c r="O63" s="9" t="str">
        <f t="shared" si="5"/>
        <v/>
      </c>
      <c r="P63" s="3" t="str">
        <f t="shared" si="6"/>
        <v/>
      </c>
      <c r="Q63" s="3"/>
    </row>
    <row r="64" ht="15.75" customHeight="1">
      <c r="A64" s="4" t="s">
        <v>154</v>
      </c>
      <c r="B64" s="5" t="s">
        <v>155</v>
      </c>
      <c r="C64" s="5" t="s">
        <v>156</v>
      </c>
      <c r="D64" s="6">
        <v>45393.0</v>
      </c>
      <c r="E64" s="3"/>
      <c r="F64" s="3">
        <v>72485.6</v>
      </c>
      <c r="G64" s="3">
        <v>0.0</v>
      </c>
      <c r="H64" s="3">
        <v>6523.7</v>
      </c>
      <c r="I64" s="3">
        <v>6523.7</v>
      </c>
      <c r="J64" s="7">
        <f t="shared" si="1"/>
        <v>13047.4</v>
      </c>
      <c r="K64" s="3"/>
      <c r="L64" s="3" t="str">
        <f t="shared" si="2"/>
        <v>27AACFE6426A1ZW-250059-11042024</v>
      </c>
      <c r="M64" s="8">
        <f t="shared" si="7"/>
        <v>17.99998896</v>
      </c>
      <c r="N64" s="3" t="str">
        <f t="shared" si="4"/>
        <v/>
      </c>
      <c r="O64" s="9" t="str">
        <f t="shared" si="5"/>
        <v/>
      </c>
      <c r="P64" s="3" t="str">
        <f t="shared" si="6"/>
        <v/>
      </c>
      <c r="Q64" s="3"/>
    </row>
    <row r="65" ht="15.75" customHeight="1">
      <c r="A65" s="4" t="s">
        <v>76</v>
      </c>
      <c r="B65" s="5" t="s">
        <v>77</v>
      </c>
      <c r="C65" s="5" t="s">
        <v>157</v>
      </c>
      <c r="D65" s="6">
        <v>45394.0</v>
      </c>
      <c r="E65" s="3"/>
      <c r="F65" s="3">
        <v>1564.65</v>
      </c>
      <c r="G65" s="3">
        <v>0.0</v>
      </c>
      <c r="H65" s="3">
        <v>140.82</v>
      </c>
      <c r="I65" s="3">
        <v>140.82</v>
      </c>
      <c r="J65" s="7">
        <f t="shared" si="1"/>
        <v>281.64</v>
      </c>
      <c r="K65" s="3"/>
      <c r="L65" s="3" t="str">
        <f t="shared" si="2"/>
        <v>27AAVFK8826F1ZP-KPAS/24-25/318-12042024</v>
      </c>
      <c r="M65" s="8">
        <f t="shared" si="7"/>
        <v>18.00019174</v>
      </c>
      <c r="N65" s="3" t="str">
        <f t="shared" si="4"/>
        <v/>
      </c>
      <c r="O65" s="9" t="str">
        <f t="shared" si="5"/>
        <v/>
      </c>
      <c r="P65" s="3" t="str">
        <f t="shared" si="6"/>
        <v/>
      </c>
      <c r="Q65" s="3"/>
    </row>
    <row r="66" ht="15.75" customHeight="1">
      <c r="A66" s="4" t="s">
        <v>158</v>
      </c>
      <c r="B66" s="5" t="s">
        <v>159</v>
      </c>
      <c r="C66" s="5" t="s">
        <v>160</v>
      </c>
      <c r="D66" s="6">
        <v>45394.0</v>
      </c>
      <c r="E66" s="3"/>
      <c r="F66" s="3">
        <v>550.0</v>
      </c>
      <c r="G66" s="3">
        <v>0.0</v>
      </c>
      <c r="H66" s="3">
        <v>49.5</v>
      </c>
      <c r="I66" s="3">
        <v>49.5</v>
      </c>
      <c r="J66" s="7">
        <f t="shared" si="1"/>
        <v>99</v>
      </c>
      <c r="K66" s="3"/>
      <c r="L66" s="3" t="str">
        <f t="shared" si="2"/>
        <v>27AABPB2542F1ZC-NE/24-25/0224-12042024</v>
      </c>
      <c r="M66" s="8">
        <f t="shared" si="7"/>
        <v>18</v>
      </c>
      <c r="N66" s="3" t="str">
        <f t="shared" si="4"/>
        <v/>
      </c>
      <c r="O66" s="9" t="str">
        <f t="shared" si="5"/>
        <v/>
      </c>
      <c r="P66" s="3" t="str">
        <f t="shared" si="6"/>
        <v/>
      </c>
      <c r="Q66" s="3"/>
    </row>
    <row r="67" ht="15.75" customHeight="1">
      <c r="A67" s="4" t="s">
        <v>35</v>
      </c>
      <c r="B67" s="5" t="s">
        <v>36</v>
      </c>
      <c r="C67" s="5" t="s">
        <v>161</v>
      </c>
      <c r="D67" s="6">
        <v>45394.0</v>
      </c>
      <c r="E67" s="3"/>
      <c r="F67" s="3">
        <v>33570.0</v>
      </c>
      <c r="G67" s="3">
        <v>0.0</v>
      </c>
      <c r="H67" s="3">
        <v>3021.0</v>
      </c>
      <c r="I67" s="3">
        <v>3021.0</v>
      </c>
      <c r="J67" s="7">
        <f t="shared" si="1"/>
        <v>6042</v>
      </c>
      <c r="K67" s="3"/>
      <c r="L67" s="3" t="str">
        <f t="shared" si="2"/>
        <v>27AATPW4996L1ZA-3278-12042024</v>
      </c>
      <c r="M67" s="8">
        <f t="shared" si="7"/>
        <v>17.99821269</v>
      </c>
      <c r="N67" s="3" t="str">
        <f t="shared" si="4"/>
        <v/>
      </c>
      <c r="O67" s="9" t="str">
        <f t="shared" si="5"/>
        <v/>
      </c>
      <c r="P67" s="3" t="str">
        <f t="shared" si="6"/>
        <v/>
      </c>
      <c r="Q67" s="3"/>
    </row>
    <row r="68" ht="15.75" customHeight="1">
      <c r="A68" s="4" t="s">
        <v>44</v>
      </c>
      <c r="B68" s="5" t="s">
        <v>45</v>
      </c>
      <c r="C68" s="5" t="s">
        <v>162</v>
      </c>
      <c r="D68" s="6">
        <v>45394.0</v>
      </c>
      <c r="E68" s="3"/>
      <c r="F68" s="3">
        <v>48527.65</v>
      </c>
      <c r="G68" s="3">
        <v>0.0</v>
      </c>
      <c r="H68" s="3">
        <v>4367.5</v>
      </c>
      <c r="I68" s="3">
        <v>4367.5</v>
      </c>
      <c r="J68" s="7">
        <f t="shared" si="1"/>
        <v>8735</v>
      </c>
      <c r="K68" s="3"/>
      <c r="L68" s="3" t="str">
        <f t="shared" si="2"/>
        <v>27BAEPA9590G1ZL-BWND/24-25/141-12042024</v>
      </c>
      <c r="M68" s="8">
        <f t="shared" si="7"/>
        <v>18.0000474</v>
      </c>
      <c r="N68" s="3" t="str">
        <f t="shared" si="4"/>
        <v/>
      </c>
      <c r="O68" s="9" t="str">
        <f t="shared" si="5"/>
        <v/>
      </c>
      <c r="P68" s="3" t="str">
        <f t="shared" si="6"/>
        <v/>
      </c>
      <c r="Q68" s="3"/>
    </row>
    <row r="69" ht="15.75" customHeight="1">
      <c r="A69" s="4" t="s">
        <v>66</v>
      </c>
      <c r="B69" s="5" t="s">
        <v>67</v>
      </c>
      <c r="C69" s="5" t="s">
        <v>163</v>
      </c>
      <c r="D69" s="6">
        <v>45394.0</v>
      </c>
      <c r="E69" s="3"/>
      <c r="F69" s="3">
        <v>31471.5</v>
      </c>
      <c r="G69" s="3">
        <v>0.0</v>
      </c>
      <c r="H69" s="3">
        <v>2832.44</v>
      </c>
      <c r="I69" s="3">
        <v>2832.44</v>
      </c>
      <c r="J69" s="7">
        <f t="shared" si="1"/>
        <v>5664.88</v>
      </c>
      <c r="K69" s="3"/>
      <c r="L69" s="3" t="str">
        <f t="shared" si="2"/>
        <v>27AABFM0352J1ZH-19/24-25-12042024</v>
      </c>
      <c r="M69" s="8">
        <f t="shared" si="7"/>
        <v>18.00003177</v>
      </c>
      <c r="N69" s="3" t="str">
        <f t="shared" si="4"/>
        <v/>
      </c>
      <c r="O69" s="9" t="str">
        <f t="shared" si="5"/>
        <v/>
      </c>
      <c r="P69" s="3" t="str">
        <f t="shared" si="6"/>
        <v/>
      </c>
      <c r="Q69" s="3"/>
    </row>
    <row r="70" ht="15.75" customHeight="1">
      <c r="A70" s="4" t="s">
        <v>66</v>
      </c>
      <c r="B70" s="5" t="s">
        <v>67</v>
      </c>
      <c r="C70" s="5" t="s">
        <v>164</v>
      </c>
      <c r="D70" s="6">
        <v>45394.0</v>
      </c>
      <c r="E70" s="3"/>
      <c r="F70" s="3">
        <v>2133.56</v>
      </c>
      <c r="G70" s="3">
        <v>0.0</v>
      </c>
      <c r="H70" s="3">
        <v>192.02</v>
      </c>
      <c r="I70" s="3">
        <v>192.02</v>
      </c>
      <c r="J70" s="7">
        <f t="shared" si="1"/>
        <v>384.04</v>
      </c>
      <c r="K70" s="3"/>
      <c r="L70" s="3" t="str">
        <f t="shared" si="2"/>
        <v>27AABFM0352J1ZH-18/24-25-12042024</v>
      </c>
      <c r="M70" s="8">
        <f t="shared" si="7"/>
        <v>17.9999625</v>
      </c>
      <c r="N70" s="3" t="str">
        <f t="shared" si="4"/>
        <v/>
      </c>
      <c r="O70" s="9" t="str">
        <f t="shared" si="5"/>
        <v/>
      </c>
      <c r="P70" s="3" t="str">
        <f t="shared" si="6"/>
        <v/>
      </c>
      <c r="Q70" s="3"/>
    </row>
    <row r="71" ht="15.75" customHeight="1">
      <c r="A71" s="4" t="s">
        <v>165</v>
      </c>
      <c r="B71" s="5" t="s">
        <v>166</v>
      </c>
      <c r="C71" s="5" t="s">
        <v>167</v>
      </c>
      <c r="D71" s="6">
        <v>45394.0</v>
      </c>
      <c r="E71" s="3"/>
      <c r="F71" s="3">
        <v>1456.0</v>
      </c>
      <c r="G71" s="3">
        <v>0.0</v>
      </c>
      <c r="H71" s="3">
        <v>104.64</v>
      </c>
      <c r="I71" s="3">
        <v>104.64</v>
      </c>
      <c r="J71" s="7">
        <f t="shared" si="1"/>
        <v>209.28</v>
      </c>
      <c r="K71" s="3"/>
      <c r="L71" s="3" t="str">
        <f t="shared" si="2"/>
        <v>27AAPPH6742M2Z2-ME/179/2024-25-12042024</v>
      </c>
      <c r="M71" s="8">
        <f t="shared" si="7"/>
        <v>14.37362637</v>
      </c>
      <c r="N71" s="3" t="str">
        <f t="shared" si="4"/>
        <v/>
      </c>
      <c r="O71" s="9" t="str">
        <f t="shared" si="5"/>
        <v/>
      </c>
      <c r="P71" s="3" t="str">
        <f t="shared" si="6"/>
        <v/>
      </c>
      <c r="Q71" s="3"/>
    </row>
    <row r="72" ht="15.75" customHeight="1">
      <c r="A72" s="4" t="s">
        <v>41</v>
      </c>
      <c r="B72" s="5" t="s">
        <v>42</v>
      </c>
      <c r="C72" s="5" t="s">
        <v>168</v>
      </c>
      <c r="D72" s="6">
        <v>45395.0</v>
      </c>
      <c r="E72" s="3"/>
      <c r="F72" s="3">
        <v>1215.0</v>
      </c>
      <c r="G72" s="3">
        <v>0.0</v>
      </c>
      <c r="H72" s="3">
        <v>109.35</v>
      </c>
      <c r="I72" s="3">
        <v>109.35</v>
      </c>
      <c r="J72" s="7">
        <f t="shared" si="1"/>
        <v>218.7</v>
      </c>
      <c r="K72" s="3"/>
      <c r="L72" s="3" t="str">
        <f t="shared" si="2"/>
        <v>27AACCA4768Q1Z0-97-13042024</v>
      </c>
      <c r="M72" s="8">
        <f t="shared" si="7"/>
        <v>18</v>
      </c>
      <c r="N72" s="3" t="str">
        <f t="shared" si="4"/>
        <v/>
      </c>
      <c r="O72" s="9" t="str">
        <f t="shared" si="5"/>
        <v/>
      </c>
      <c r="P72" s="3" t="str">
        <f t="shared" si="6"/>
        <v/>
      </c>
      <c r="Q72" s="3"/>
    </row>
    <row r="73" ht="15.75" customHeight="1">
      <c r="A73" s="4" t="s">
        <v>169</v>
      </c>
      <c r="B73" s="5" t="s">
        <v>170</v>
      </c>
      <c r="C73" s="5" t="s">
        <v>171</v>
      </c>
      <c r="D73" s="6">
        <v>45395.0</v>
      </c>
      <c r="E73" s="3"/>
      <c r="F73" s="3">
        <v>400.0</v>
      </c>
      <c r="G73" s="3">
        <v>0.0</v>
      </c>
      <c r="H73" s="3">
        <v>36.0</v>
      </c>
      <c r="I73" s="3">
        <v>36.0</v>
      </c>
      <c r="J73" s="7">
        <f t="shared" si="1"/>
        <v>72</v>
      </c>
      <c r="K73" s="3"/>
      <c r="L73" s="3" t="str">
        <f t="shared" si="2"/>
        <v>27ADJPR1065Q1ZV-SMI/069/24-25-13042024</v>
      </c>
      <c r="M73" s="8">
        <f t="shared" si="7"/>
        <v>18</v>
      </c>
      <c r="N73" s="3" t="str">
        <f t="shared" si="4"/>
        <v/>
      </c>
      <c r="O73" s="9" t="str">
        <f t="shared" si="5"/>
        <v/>
      </c>
      <c r="P73" s="3" t="str">
        <f t="shared" si="6"/>
        <v/>
      </c>
      <c r="Q73" s="3"/>
    </row>
    <row r="74" ht="15.75" customHeight="1">
      <c r="A74" s="4" t="s">
        <v>38</v>
      </c>
      <c r="B74" s="5" t="s">
        <v>39</v>
      </c>
      <c r="C74" s="5" t="s">
        <v>172</v>
      </c>
      <c r="D74" s="6">
        <v>45395.0</v>
      </c>
      <c r="E74" s="3"/>
      <c r="F74" s="3">
        <v>12293.0</v>
      </c>
      <c r="G74" s="3">
        <v>0.0</v>
      </c>
      <c r="H74" s="3">
        <v>738.0</v>
      </c>
      <c r="I74" s="3">
        <v>738.0</v>
      </c>
      <c r="J74" s="7">
        <f t="shared" si="1"/>
        <v>1476</v>
      </c>
      <c r="K74" s="3"/>
      <c r="L74" s="3" t="str">
        <f t="shared" si="2"/>
        <v>27AOVPP9192F2Z0-253-13042024</v>
      </c>
      <c r="M74" s="8">
        <f t="shared" si="7"/>
        <v>12.00683316</v>
      </c>
      <c r="N74" s="3" t="str">
        <f t="shared" si="4"/>
        <v/>
      </c>
      <c r="O74" s="9" t="str">
        <f t="shared" si="5"/>
        <v/>
      </c>
      <c r="P74" s="3" t="str">
        <f t="shared" si="6"/>
        <v/>
      </c>
      <c r="Q74" s="3"/>
    </row>
    <row r="75" ht="15.75" customHeight="1">
      <c r="A75" s="4" t="s">
        <v>56</v>
      </c>
      <c r="B75" s="5" t="s">
        <v>57</v>
      </c>
      <c r="C75" s="5" t="s">
        <v>173</v>
      </c>
      <c r="D75" s="6">
        <v>45397.0</v>
      </c>
      <c r="E75" s="3"/>
      <c r="F75" s="3">
        <v>70242.0</v>
      </c>
      <c r="G75" s="3">
        <v>0.0</v>
      </c>
      <c r="H75" s="3">
        <v>6322.0</v>
      </c>
      <c r="I75" s="3">
        <v>6322.0</v>
      </c>
      <c r="J75" s="7">
        <f t="shared" si="1"/>
        <v>12644</v>
      </c>
      <c r="K75" s="3"/>
      <c r="L75" s="3" t="str">
        <f t="shared" si="2"/>
        <v>27AAACB2900K1ZZ-4320290521-15042024</v>
      </c>
      <c r="M75" s="8">
        <f t="shared" si="7"/>
        <v>18.00062641</v>
      </c>
      <c r="N75" s="3" t="str">
        <f t="shared" si="4"/>
        <v/>
      </c>
      <c r="O75" s="9" t="str">
        <f t="shared" si="5"/>
        <v/>
      </c>
      <c r="P75" s="3" t="str">
        <f t="shared" si="6"/>
        <v/>
      </c>
      <c r="Q75" s="3"/>
    </row>
    <row r="76" ht="15.75" customHeight="1">
      <c r="A76" s="4" t="s">
        <v>56</v>
      </c>
      <c r="B76" s="5" t="s">
        <v>57</v>
      </c>
      <c r="C76" s="5" t="s">
        <v>174</v>
      </c>
      <c r="D76" s="6">
        <v>45397.0</v>
      </c>
      <c r="E76" s="3"/>
      <c r="F76" s="3">
        <v>99100.0</v>
      </c>
      <c r="G76" s="3">
        <v>0.0</v>
      </c>
      <c r="H76" s="3">
        <v>8919.0</v>
      </c>
      <c r="I76" s="3">
        <v>8919.0</v>
      </c>
      <c r="J76" s="7">
        <f t="shared" si="1"/>
        <v>17838</v>
      </c>
      <c r="K76" s="3"/>
      <c r="L76" s="3" t="str">
        <f t="shared" si="2"/>
        <v>27AAACB2900K1ZZ-4320290522-15042024</v>
      </c>
      <c r="M76" s="8">
        <f t="shared" si="7"/>
        <v>18</v>
      </c>
      <c r="N76" s="3" t="str">
        <f t="shared" si="4"/>
        <v/>
      </c>
      <c r="O76" s="9" t="str">
        <f t="shared" si="5"/>
        <v/>
      </c>
      <c r="P76" s="3" t="str">
        <f t="shared" si="6"/>
        <v/>
      </c>
      <c r="Q76" s="3"/>
    </row>
    <row r="77" ht="15.75" customHeight="1">
      <c r="A77" s="4" t="s">
        <v>56</v>
      </c>
      <c r="B77" s="5" t="s">
        <v>57</v>
      </c>
      <c r="C77" s="5" t="s">
        <v>175</v>
      </c>
      <c r="D77" s="6">
        <v>45397.0</v>
      </c>
      <c r="E77" s="3"/>
      <c r="F77" s="3">
        <v>37446.0</v>
      </c>
      <c r="G77" s="3">
        <v>0.0</v>
      </c>
      <c r="H77" s="3">
        <v>3370.0</v>
      </c>
      <c r="I77" s="3">
        <v>3370.0</v>
      </c>
      <c r="J77" s="7">
        <f t="shared" si="1"/>
        <v>6740</v>
      </c>
      <c r="K77" s="3"/>
      <c r="L77" s="3" t="str">
        <f t="shared" si="2"/>
        <v>27AAACB2900K1ZZ-4320290523-15042024</v>
      </c>
      <c r="M77" s="8">
        <f t="shared" si="7"/>
        <v>17.99925226</v>
      </c>
      <c r="N77" s="3" t="str">
        <f t="shared" si="4"/>
        <v/>
      </c>
      <c r="O77" s="9" t="str">
        <f t="shared" si="5"/>
        <v/>
      </c>
      <c r="P77" s="3" t="str">
        <f t="shared" si="6"/>
        <v/>
      </c>
      <c r="Q77" s="3"/>
    </row>
    <row r="78" ht="15.75" customHeight="1">
      <c r="A78" s="4" t="s">
        <v>56</v>
      </c>
      <c r="B78" s="5" t="s">
        <v>57</v>
      </c>
      <c r="C78" s="5" t="s">
        <v>176</v>
      </c>
      <c r="D78" s="6">
        <v>45397.0</v>
      </c>
      <c r="E78" s="3"/>
      <c r="F78" s="3">
        <v>371332.0</v>
      </c>
      <c r="G78" s="3">
        <v>0.0</v>
      </c>
      <c r="H78" s="3">
        <v>33420.0</v>
      </c>
      <c r="I78" s="3">
        <v>33420.0</v>
      </c>
      <c r="J78" s="7">
        <f t="shared" si="1"/>
        <v>66840</v>
      </c>
      <c r="K78" s="3"/>
      <c r="L78" s="3" t="str">
        <f t="shared" si="2"/>
        <v>27AAACB2900K1ZZ-4320290524-15042024</v>
      </c>
      <c r="M78" s="8">
        <f t="shared" si="7"/>
        <v>18.00006463</v>
      </c>
      <c r="N78" s="3" t="str">
        <f t="shared" si="4"/>
        <v/>
      </c>
      <c r="O78" s="9" t="str">
        <f t="shared" si="5"/>
        <v/>
      </c>
      <c r="P78" s="3" t="str">
        <f t="shared" si="6"/>
        <v/>
      </c>
      <c r="Q78" s="3"/>
    </row>
    <row r="79" ht="15.75" customHeight="1">
      <c r="A79" s="4" t="s">
        <v>56</v>
      </c>
      <c r="B79" s="5" t="s">
        <v>57</v>
      </c>
      <c r="C79" s="5" t="s">
        <v>177</v>
      </c>
      <c r="D79" s="6">
        <v>45397.0</v>
      </c>
      <c r="E79" s="3"/>
      <c r="F79" s="3">
        <v>267072.0</v>
      </c>
      <c r="G79" s="3">
        <v>0.0</v>
      </c>
      <c r="H79" s="3">
        <v>24036.0</v>
      </c>
      <c r="I79" s="3">
        <v>24036.0</v>
      </c>
      <c r="J79" s="7">
        <f t="shared" si="1"/>
        <v>48072</v>
      </c>
      <c r="K79" s="3"/>
      <c r="L79" s="3" t="str">
        <f t="shared" si="2"/>
        <v>27AAACB2900K1ZZ-4320290553-15042024</v>
      </c>
      <c r="M79" s="8">
        <f t="shared" si="7"/>
        <v>17.99964055</v>
      </c>
      <c r="N79" s="3" t="str">
        <f t="shared" si="4"/>
        <v/>
      </c>
      <c r="O79" s="9" t="str">
        <f t="shared" si="5"/>
        <v/>
      </c>
      <c r="P79" s="3" t="str">
        <f t="shared" si="6"/>
        <v/>
      </c>
      <c r="Q79" s="3"/>
    </row>
    <row r="80" ht="15.75" customHeight="1">
      <c r="A80" s="4" t="s">
        <v>56</v>
      </c>
      <c r="B80" s="5" t="s">
        <v>57</v>
      </c>
      <c r="C80" s="5" t="s">
        <v>178</v>
      </c>
      <c r="D80" s="6">
        <v>45397.0</v>
      </c>
      <c r="E80" s="3"/>
      <c r="F80" s="3">
        <v>154522.0</v>
      </c>
      <c r="G80" s="3">
        <v>0.0</v>
      </c>
      <c r="H80" s="3">
        <v>13908.0</v>
      </c>
      <c r="I80" s="3">
        <v>13908.0</v>
      </c>
      <c r="J80" s="7">
        <f t="shared" si="1"/>
        <v>27816</v>
      </c>
      <c r="K80" s="3"/>
      <c r="L80" s="3" t="str">
        <f t="shared" si="2"/>
        <v>27AAACB2900K1ZZ-4320290556-15042024</v>
      </c>
      <c r="M80" s="8">
        <f t="shared" si="7"/>
        <v>18.0013202</v>
      </c>
      <c r="N80" s="3" t="str">
        <f t="shared" si="4"/>
        <v/>
      </c>
      <c r="O80" s="9" t="str">
        <f t="shared" si="5"/>
        <v/>
      </c>
      <c r="P80" s="3" t="str">
        <f t="shared" si="6"/>
        <v/>
      </c>
      <c r="Q80" s="3"/>
    </row>
    <row r="81" ht="15.75" customHeight="1">
      <c r="A81" s="4" t="s">
        <v>179</v>
      </c>
      <c r="B81" s="5" t="s">
        <v>180</v>
      </c>
      <c r="C81" s="5" t="s">
        <v>181</v>
      </c>
      <c r="D81" s="6">
        <v>45397.0</v>
      </c>
      <c r="E81" s="3"/>
      <c r="F81" s="3">
        <v>70415.1</v>
      </c>
      <c r="G81" s="3">
        <v>0.0</v>
      </c>
      <c r="H81" s="3">
        <v>6337.0</v>
      </c>
      <c r="I81" s="3">
        <v>6337.0</v>
      </c>
      <c r="J81" s="7">
        <f t="shared" si="1"/>
        <v>12674</v>
      </c>
      <c r="K81" s="3"/>
      <c r="L81" s="3" t="str">
        <f t="shared" si="2"/>
        <v>27AAACC3840K1ZP-424587429-15042024</v>
      </c>
      <c r="M81" s="8">
        <f t="shared" si="7"/>
        <v>17.99898033</v>
      </c>
      <c r="N81" s="3" t="str">
        <f t="shared" si="4"/>
        <v/>
      </c>
      <c r="O81" s="9" t="str">
        <f t="shared" si="5"/>
        <v/>
      </c>
      <c r="P81" s="3" t="str">
        <f t="shared" si="6"/>
        <v/>
      </c>
      <c r="Q81" s="3"/>
    </row>
    <row r="82" ht="15.75" customHeight="1">
      <c r="A82" s="4" t="s">
        <v>182</v>
      </c>
      <c r="B82" s="5" t="s">
        <v>183</v>
      </c>
      <c r="C82" s="5" t="s">
        <v>184</v>
      </c>
      <c r="D82" s="6">
        <v>45397.0</v>
      </c>
      <c r="E82" s="3"/>
      <c r="F82" s="3">
        <v>152724.0</v>
      </c>
      <c r="G82" s="3">
        <v>180214.33000000002</v>
      </c>
      <c r="H82" s="3">
        <v>0.0</v>
      </c>
      <c r="I82" s="3">
        <v>0.0</v>
      </c>
      <c r="J82" s="7">
        <f t="shared" si="1"/>
        <v>180214.33</v>
      </c>
      <c r="K82" s="3"/>
      <c r="L82" s="3" t="str">
        <f t="shared" si="2"/>
        <v>24AAGFH7170L1Z5-GT/60-15042024</v>
      </c>
      <c r="M82" s="8">
        <f t="shared" si="7"/>
        <v>118.0000065</v>
      </c>
      <c r="N82" s="3" t="str">
        <f t="shared" si="4"/>
        <v/>
      </c>
      <c r="O82" s="9" t="str">
        <f t="shared" si="5"/>
        <v/>
      </c>
      <c r="P82" s="3" t="str">
        <f t="shared" si="6"/>
        <v/>
      </c>
      <c r="Q82" s="3"/>
    </row>
    <row r="83" ht="15.75" customHeight="1">
      <c r="A83" s="4" t="s">
        <v>179</v>
      </c>
      <c r="B83" s="5" t="s">
        <v>180</v>
      </c>
      <c r="C83" s="5" t="s">
        <v>185</v>
      </c>
      <c r="D83" s="6">
        <v>45398.0</v>
      </c>
      <c r="E83" s="3"/>
      <c r="F83" s="3">
        <v>360530.1</v>
      </c>
      <c r="G83" s="3">
        <v>0.0</v>
      </c>
      <c r="H83" s="3">
        <v>32448.0</v>
      </c>
      <c r="I83" s="3">
        <v>32448.0</v>
      </c>
      <c r="J83" s="7">
        <f t="shared" si="1"/>
        <v>64896</v>
      </c>
      <c r="K83" s="3"/>
      <c r="L83" s="3" t="str">
        <f t="shared" si="2"/>
        <v>27AAACC3840K1ZP-374122717-16042024</v>
      </c>
      <c r="M83" s="8">
        <f t="shared" si="7"/>
        <v>18.00016143</v>
      </c>
      <c r="N83" s="3" t="str">
        <f t="shared" si="4"/>
        <v/>
      </c>
      <c r="O83" s="9" t="str">
        <f t="shared" si="5"/>
        <v/>
      </c>
      <c r="P83" s="3" t="str">
        <f t="shared" si="6"/>
        <v/>
      </c>
      <c r="Q83" s="3"/>
    </row>
    <row r="84" ht="15.75" customHeight="1">
      <c r="A84" s="4" t="s">
        <v>25</v>
      </c>
      <c r="B84" s="5" t="s">
        <v>26</v>
      </c>
      <c r="C84" s="5" t="s">
        <v>186</v>
      </c>
      <c r="D84" s="6">
        <v>45398.0</v>
      </c>
      <c r="E84" s="3"/>
      <c r="F84" s="3">
        <v>23016.0</v>
      </c>
      <c r="G84" s="3">
        <v>0.0</v>
      </c>
      <c r="H84" s="3">
        <v>1380.96</v>
      </c>
      <c r="I84" s="3">
        <v>1380.96</v>
      </c>
      <c r="J84" s="7">
        <f t="shared" si="1"/>
        <v>2761.92</v>
      </c>
      <c r="K84" s="3"/>
      <c r="L84" s="3" t="str">
        <f t="shared" si="2"/>
        <v>27ADJPV3549B2ZC-59/24-25-16042024</v>
      </c>
      <c r="M84" s="8">
        <f t="shared" si="7"/>
        <v>12</v>
      </c>
      <c r="N84" s="3" t="str">
        <f t="shared" si="4"/>
        <v/>
      </c>
      <c r="O84" s="9" t="str">
        <f t="shared" si="5"/>
        <v/>
      </c>
      <c r="P84" s="3" t="str">
        <f t="shared" si="6"/>
        <v/>
      </c>
      <c r="Q84" s="3"/>
    </row>
    <row r="85" ht="15.75" customHeight="1">
      <c r="A85" s="4" t="s">
        <v>187</v>
      </c>
      <c r="B85" s="5" t="s">
        <v>188</v>
      </c>
      <c r="C85" s="5" t="s">
        <v>121</v>
      </c>
      <c r="D85" s="6">
        <v>45399.0</v>
      </c>
      <c r="E85" s="3"/>
      <c r="F85" s="3">
        <v>706563.0</v>
      </c>
      <c r="G85" s="3">
        <v>0.0</v>
      </c>
      <c r="H85" s="3">
        <v>63590.67</v>
      </c>
      <c r="I85" s="3">
        <v>63590.67</v>
      </c>
      <c r="J85" s="7">
        <f t="shared" si="1"/>
        <v>127181.34</v>
      </c>
      <c r="K85" s="3"/>
      <c r="L85" s="3" t="str">
        <f t="shared" si="2"/>
        <v>27AABPD5831H1Z0-11/24-25-17042024</v>
      </c>
      <c r="M85" s="8">
        <f t="shared" si="7"/>
        <v>18</v>
      </c>
      <c r="N85" s="3" t="str">
        <f t="shared" si="4"/>
        <v/>
      </c>
      <c r="O85" s="9" t="str">
        <f t="shared" si="5"/>
        <v/>
      </c>
      <c r="P85" s="3" t="str">
        <f t="shared" si="6"/>
        <v/>
      </c>
      <c r="Q85" s="3"/>
    </row>
    <row r="86" ht="15.75" customHeight="1">
      <c r="A86" s="4" t="s">
        <v>154</v>
      </c>
      <c r="B86" s="5" t="s">
        <v>155</v>
      </c>
      <c r="C86" s="5" t="s">
        <v>189</v>
      </c>
      <c r="D86" s="6">
        <v>45399.0</v>
      </c>
      <c r="E86" s="3"/>
      <c r="F86" s="3">
        <v>18114.8</v>
      </c>
      <c r="G86" s="3">
        <v>0.0</v>
      </c>
      <c r="H86" s="3">
        <v>1630.33</v>
      </c>
      <c r="I86" s="3">
        <v>1630.33</v>
      </c>
      <c r="J86" s="7">
        <f t="shared" si="1"/>
        <v>3260.66</v>
      </c>
      <c r="K86" s="3"/>
      <c r="L86" s="3" t="str">
        <f t="shared" si="2"/>
        <v>27AACFE6426A1ZW-250107-17042024</v>
      </c>
      <c r="M86" s="8">
        <f t="shared" si="7"/>
        <v>17.99997792</v>
      </c>
      <c r="N86" s="3" t="str">
        <f t="shared" si="4"/>
        <v/>
      </c>
      <c r="O86" s="9" t="str">
        <f t="shared" si="5"/>
        <v/>
      </c>
      <c r="P86" s="3" t="str">
        <f t="shared" si="6"/>
        <v/>
      </c>
      <c r="Q86" s="3"/>
    </row>
    <row r="87" ht="15.75" customHeight="1">
      <c r="A87" s="4" t="s">
        <v>126</v>
      </c>
      <c r="B87" s="5" t="s">
        <v>127</v>
      </c>
      <c r="C87" s="5" t="s">
        <v>190</v>
      </c>
      <c r="D87" s="6">
        <v>45399.0</v>
      </c>
      <c r="E87" s="3"/>
      <c r="F87" s="3">
        <v>5286.57</v>
      </c>
      <c r="G87" s="3">
        <v>0.0</v>
      </c>
      <c r="H87" s="3">
        <v>491.81000000000006</v>
      </c>
      <c r="I87" s="3">
        <v>491.81000000000006</v>
      </c>
      <c r="J87" s="7">
        <f t="shared" si="1"/>
        <v>983.62</v>
      </c>
      <c r="K87" s="3"/>
      <c r="L87" s="3" t="str">
        <f t="shared" si="2"/>
        <v>27AXPPJ7281A1ZB-25-17042024</v>
      </c>
      <c r="M87" s="8">
        <f t="shared" si="7"/>
        <v>18.60601486</v>
      </c>
      <c r="N87" s="3" t="str">
        <f t="shared" si="4"/>
        <v/>
      </c>
      <c r="O87" s="9" t="str">
        <f t="shared" si="5"/>
        <v/>
      </c>
      <c r="P87" s="3" t="str">
        <f t="shared" si="6"/>
        <v/>
      </c>
      <c r="Q87" s="3"/>
    </row>
    <row r="88" ht="15.75" customHeight="1">
      <c r="A88" s="4" t="s">
        <v>117</v>
      </c>
      <c r="B88" s="5" t="s">
        <v>118</v>
      </c>
      <c r="C88" s="5" t="s">
        <v>191</v>
      </c>
      <c r="D88" s="6">
        <v>45400.0</v>
      </c>
      <c r="E88" s="3"/>
      <c r="F88" s="3">
        <v>6944.0</v>
      </c>
      <c r="G88" s="3">
        <v>0.0</v>
      </c>
      <c r="H88" s="3">
        <v>416.64</v>
      </c>
      <c r="I88" s="3">
        <v>416.64</v>
      </c>
      <c r="J88" s="7">
        <f t="shared" si="1"/>
        <v>833.28</v>
      </c>
      <c r="K88" s="3"/>
      <c r="L88" s="3" t="str">
        <f t="shared" si="2"/>
        <v>27AAGPS6107E1ZR-24-25/29-18042024</v>
      </c>
      <c r="M88" s="8">
        <f t="shared" si="7"/>
        <v>12</v>
      </c>
      <c r="N88" s="3" t="str">
        <f t="shared" si="4"/>
        <v/>
      </c>
      <c r="O88" s="9" t="str">
        <f t="shared" si="5"/>
        <v/>
      </c>
      <c r="P88" s="3" t="str">
        <f t="shared" si="6"/>
        <v/>
      </c>
      <c r="Q88" s="3"/>
    </row>
    <row r="89" ht="15.75" customHeight="1">
      <c r="A89" s="4" t="s">
        <v>192</v>
      </c>
      <c r="B89" s="5" t="s">
        <v>193</v>
      </c>
      <c r="C89" s="5" t="s">
        <v>194</v>
      </c>
      <c r="D89" s="6">
        <v>45400.0</v>
      </c>
      <c r="E89" s="3"/>
      <c r="F89" s="3">
        <v>132000.0</v>
      </c>
      <c r="G89" s="3">
        <v>0.0</v>
      </c>
      <c r="H89" s="3">
        <v>11880.0</v>
      </c>
      <c r="I89" s="3">
        <v>11880.0</v>
      </c>
      <c r="J89" s="7">
        <f t="shared" si="1"/>
        <v>23760</v>
      </c>
      <c r="K89" s="3"/>
      <c r="L89" s="3" t="str">
        <f t="shared" si="2"/>
        <v>27AAPPJ2040N1ZG-169/2024-25-18042024</v>
      </c>
      <c r="M89" s="8">
        <f t="shared" si="7"/>
        <v>18</v>
      </c>
      <c r="N89" s="3" t="str">
        <f t="shared" si="4"/>
        <v/>
      </c>
      <c r="O89" s="9" t="str">
        <f t="shared" si="5"/>
        <v/>
      </c>
      <c r="P89" s="3" t="str">
        <f t="shared" si="6"/>
        <v/>
      </c>
      <c r="Q89" s="3"/>
    </row>
    <row r="90" ht="15.75" customHeight="1">
      <c r="A90" s="4" t="s">
        <v>195</v>
      </c>
      <c r="B90" s="5" t="s">
        <v>196</v>
      </c>
      <c r="C90" s="5" t="s">
        <v>197</v>
      </c>
      <c r="D90" s="6">
        <v>45401.0</v>
      </c>
      <c r="E90" s="3"/>
      <c r="F90" s="3">
        <v>300.0</v>
      </c>
      <c r="G90" s="3">
        <v>0.0</v>
      </c>
      <c r="H90" s="3">
        <v>27.0</v>
      </c>
      <c r="I90" s="3">
        <v>27.0</v>
      </c>
      <c r="J90" s="7">
        <f t="shared" si="1"/>
        <v>54</v>
      </c>
      <c r="K90" s="3"/>
      <c r="L90" s="3" t="str">
        <f t="shared" si="2"/>
        <v>27ACIPK1680N1Z6-159/24-25-19042024</v>
      </c>
      <c r="M90" s="8">
        <f t="shared" si="7"/>
        <v>18</v>
      </c>
      <c r="N90" s="3" t="str">
        <f t="shared" si="4"/>
        <v/>
      </c>
      <c r="O90" s="9" t="str">
        <f t="shared" si="5"/>
        <v/>
      </c>
      <c r="P90" s="3" t="str">
        <f t="shared" si="6"/>
        <v/>
      </c>
      <c r="Q90" s="3"/>
    </row>
    <row r="91" ht="15.75" customHeight="1">
      <c r="A91" s="4" t="s">
        <v>169</v>
      </c>
      <c r="B91" s="5" t="s">
        <v>170</v>
      </c>
      <c r="C91" s="5" t="s">
        <v>198</v>
      </c>
      <c r="D91" s="6">
        <v>45401.0</v>
      </c>
      <c r="E91" s="3"/>
      <c r="F91" s="3">
        <v>731.0</v>
      </c>
      <c r="G91" s="3">
        <v>0.0</v>
      </c>
      <c r="H91" s="3">
        <v>65.79</v>
      </c>
      <c r="I91" s="3">
        <v>65.79</v>
      </c>
      <c r="J91" s="7">
        <f t="shared" si="1"/>
        <v>131.58</v>
      </c>
      <c r="K91" s="3"/>
      <c r="L91" s="3" t="str">
        <f t="shared" si="2"/>
        <v>27ADJPR1065Q1ZV-SMI/079/24-25-19042024</v>
      </c>
      <c r="M91" s="8">
        <f t="shared" si="7"/>
        <v>18</v>
      </c>
      <c r="N91" s="3" t="str">
        <f t="shared" si="4"/>
        <v/>
      </c>
      <c r="O91" s="9" t="str">
        <f t="shared" si="5"/>
        <v/>
      </c>
      <c r="P91" s="3" t="str">
        <f t="shared" si="6"/>
        <v/>
      </c>
      <c r="Q91" s="3"/>
    </row>
    <row r="92" ht="15.75" customHeight="1">
      <c r="A92" s="4" t="s">
        <v>179</v>
      </c>
      <c r="B92" s="5" t="s">
        <v>180</v>
      </c>
      <c r="C92" s="5" t="s">
        <v>199</v>
      </c>
      <c r="D92" s="6">
        <v>45401.0</v>
      </c>
      <c r="E92" s="3"/>
      <c r="F92" s="3">
        <v>30663.75</v>
      </c>
      <c r="G92" s="3">
        <v>0.0</v>
      </c>
      <c r="H92" s="3">
        <v>2760.0</v>
      </c>
      <c r="I92" s="3">
        <v>2760.0</v>
      </c>
      <c r="J92" s="7">
        <f t="shared" si="1"/>
        <v>5520</v>
      </c>
      <c r="K92" s="3"/>
      <c r="L92" s="3" t="str">
        <f t="shared" si="2"/>
        <v>27AAACC3840K1ZP-374123319-19042024</v>
      </c>
      <c r="M92" s="8">
        <f t="shared" si="7"/>
        <v>18.00171212</v>
      </c>
      <c r="N92" s="3" t="str">
        <f t="shared" si="4"/>
        <v/>
      </c>
      <c r="O92" s="9" t="str">
        <f t="shared" si="5"/>
        <v/>
      </c>
      <c r="P92" s="3" t="str">
        <f t="shared" si="6"/>
        <v/>
      </c>
      <c r="Q92" s="3"/>
    </row>
    <row r="93" ht="15.75" customHeight="1">
      <c r="A93" s="4" t="s">
        <v>103</v>
      </c>
      <c r="B93" s="5" t="s">
        <v>104</v>
      </c>
      <c r="C93" s="5" t="s">
        <v>200</v>
      </c>
      <c r="D93" s="6">
        <v>45402.0</v>
      </c>
      <c r="E93" s="3"/>
      <c r="F93" s="3">
        <v>5000.0</v>
      </c>
      <c r="G93" s="3">
        <v>0.0</v>
      </c>
      <c r="H93" s="3">
        <v>0.0</v>
      </c>
      <c r="I93" s="3">
        <v>0.0</v>
      </c>
      <c r="J93" s="7">
        <f t="shared" si="1"/>
        <v>0</v>
      </c>
      <c r="K93" s="3"/>
      <c r="L93" s="3" t="str">
        <f t="shared" si="2"/>
        <v>27AAACT7966R1ZB-647848342-20042024</v>
      </c>
      <c r="M93" s="8">
        <f t="shared" si="7"/>
        <v>0</v>
      </c>
      <c r="N93" s="3" t="str">
        <f t="shared" si="4"/>
        <v/>
      </c>
      <c r="O93" s="9" t="str">
        <f t="shared" si="5"/>
        <v/>
      </c>
      <c r="P93" s="3" t="str">
        <f t="shared" si="6"/>
        <v/>
      </c>
      <c r="Q93" s="3"/>
    </row>
    <row r="94" ht="15.75" customHeight="1">
      <c r="A94" s="4" t="s">
        <v>187</v>
      </c>
      <c r="B94" s="5" t="s">
        <v>188</v>
      </c>
      <c r="C94" s="5" t="s">
        <v>201</v>
      </c>
      <c r="D94" s="6">
        <v>45403.0</v>
      </c>
      <c r="E94" s="3"/>
      <c r="F94" s="3">
        <v>992043.0</v>
      </c>
      <c r="G94" s="3">
        <v>0.0</v>
      </c>
      <c r="H94" s="3">
        <v>89283.87</v>
      </c>
      <c r="I94" s="3">
        <v>89283.87</v>
      </c>
      <c r="J94" s="7">
        <f t="shared" si="1"/>
        <v>178567.74</v>
      </c>
      <c r="K94" s="3"/>
      <c r="L94" s="3" t="str">
        <f t="shared" si="2"/>
        <v>27AABPD5831H1Z0-12/24-25-21042024</v>
      </c>
      <c r="M94" s="8">
        <f t="shared" si="7"/>
        <v>18</v>
      </c>
      <c r="N94" s="3" t="str">
        <f t="shared" si="4"/>
        <v/>
      </c>
      <c r="O94" s="9" t="str">
        <f t="shared" si="5"/>
        <v/>
      </c>
      <c r="P94" s="3" t="str">
        <f t="shared" si="6"/>
        <v/>
      </c>
      <c r="Q94" s="3"/>
    </row>
    <row r="95" ht="15.75" customHeight="1">
      <c r="A95" s="4" t="s">
        <v>202</v>
      </c>
      <c r="B95" s="5" t="s">
        <v>203</v>
      </c>
      <c r="C95" s="5" t="s">
        <v>204</v>
      </c>
      <c r="D95" s="6">
        <v>45404.0</v>
      </c>
      <c r="E95" s="3"/>
      <c r="F95" s="3">
        <v>705.5</v>
      </c>
      <c r="G95" s="3">
        <v>0.0</v>
      </c>
      <c r="H95" s="3">
        <v>63.5</v>
      </c>
      <c r="I95" s="3">
        <v>63.5</v>
      </c>
      <c r="J95" s="7">
        <f t="shared" si="1"/>
        <v>127</v>
      </c>
      <c r="K95" s="3"/>
      <c r="L95" s="3" t="str">
        <f t="shared" si="2"/>
        <v>27AARFP2651D1Z5-616/24-25-22042024</v>
      </c>
      <c r="M95" s="8">
        <f t="shared" si="7"/>
        <v>18.00141743</v>
      </c>
      <c r="N95" s="3" t="str">
        <f t="shared" si="4"/>
        <v/>
      </c>
      <c r="O95" s="9" t="str">
        <f t="shared" si="5"/>
        <v/>
      </c>
      <c r="P95" s="3" t="str">
        <f t="shared" si="6"/>
        <v/>
      </c>
      <c r="Q95" s="3"/>
    </row>
    <row r="96" ht="15.75" customHeight="1">
      <c r="A96" s="4" t="s">
        <v>205</v>
      </c>
      <c r="B96" s="5" t="s">
        <v>206</v>
      </c>
      <c r="C96" s="5" t="s">
        <v>207</v>
      </c>
      <c r="D96" s="6">
        <v>45404.0</v>
      </c>
      <c r="E96" s="3"/>
      <c r="F96" s="3">
        <v>3060.0</v>
      </c>
      <c r="G96" s="3">
        <v>0.0</v>
      </c>
      <c r="H96" s="3">
        <v>275.4</v>
      </c>
      <c r="I96" s="3">
        <v>275.4</v>
      </c>
      <c r="J96" s="7">
        <f t="shared" si="1"/>
        <v>550.8</v>
      </c>
      <c r="K96" s="3"/>
      <c r="L96" s="3" t="str">
        <f t="shared" si="2"/>
        <v>27AAYFR6527R1ZW-24-25-00426-22042024</v>
      </c>
      <c r="M96" s="8">
        <f t="shared" si="7"/>
        <v>18</v>
      </c>
      <c r="N96" s="3" t="str">
        <f t="shared" si="4"/>
        <v/>
      </c>
      <c r="O96" s="9" t="str">
        <f t="shared" si="5"/>
        <v/>
      </c>
      <c r="P96" s="3" t="str">
        <f t="shared" si="6"/>
        <v/>
      </c>
      <c r="Q96" s="3"/>
    </row>
    <row r="97" ht="15.75" customHeight="1">
      <c r="A97" s="4" t="s">
        <v>139</v>
      </c>
      <c r="B97" s="5" t="s">
        <v>140</v>
      </c>
      <c r="C97" s="5" t="s">
        <v>208</v>
      </c>
      <c r="D97" s="6">
        <v>45404.0</v>
      </c>
      <c r="E97" s="3"/>
      <c r="F97" s="3">
        <v>7243.0</v>
      </c>
      <c r="G97" s="3">
        <v>0.0</v>
      </c>
      <c r="H97" s="3">
        <v>651.87</v>
      </c>
      <c r="I97" s="3">
        <v>651.87</v>
      </c>
      <c r="J97" s="7">
        <f t="shared" si="1"/>
        <v>1303.74</v>
      </c>
      <c r="K97" s="3"/>
      <c r="L97" s="3" t="str">
        <f t="shared" si="2"/>
        <v>27AAAFU1306P1Z2-6979-22042024</v>
      </c>
      <c r="M97" s="8">
        <f t="shared" si="7"/>
        <v>18</v>
      </c>
      <c r="N97" s="3" t="str">
        <f t="shared" si="4"/>
        <v/>
      </c>
      <c r="O97" s="9" t="str">
        <f t="shared" si="5"/>
        <v/>
      </c>
      <c r="P97" s="3" t="str">
        <f t="shared" si="6"/>
        <v/>
      </c>
      <c r="Q97" s="3"/>
    </row>
    <row r="98" ht="15.75" customHeight="1">
      <c r="A98" s="4" t="s">
        <v>129</v>
      </c>
      <c r="B98" s="5" t="s">
        <v>130</v>
      </c>
      <c r="C98" s="5" t="s">
        <v>209</v>
      </c>
      <c r="D98" s="6">
        <v>45404.0</v>
      </c>
      <c r="E98" s="3"/>
      <c r="F98" s="3">
        <v>350.0</v>
      </c>
      <c r="G98" s="3">
        <v>0.0</v>
      </c>
      <c r="H98" s="3">
        <v>31.5</v>
      </c>
      <c r="I98" s="3">
        <v>31.5</v>
      </c>
      <c r="J98" s="7">
        <f t="shared" si="1"/>
        <v>63</v>
      </c>
      <c r="K98" s="3"/>
      <c r="L98" s="3" t="str">
        <f t="shared" si="2"/>
        <v>27AIKPY6401D1Z5-33-22042024</v>
      </c>
      <c r="M98" s="8">
        <f t="shared" si="7"/>
        <v>18</v>
      </c>
      <c r="N98" s="3" t="str">
        <f t="shared" si="4"/>
        <v/>
      </c>
      <c r="O98" s="9" t="str">
        <f t="shared" si="5"/>
        <v/>
      </c>
      <c r="P98" s="3" t="str">
        <f t="shared" si="6"/>
        <v/>
      </c>
      <c r="Q98" s="3"/>
    </row>
    <row r="99" ht="15.75" customHeight="1">
      <c r="A99" s="4" t="s">
        <v>47</v>
      </c>
      <c r="B99" s="5" t="s">
        <v>48</v>
      </c>
      <c r="C99" s="5" t="s">
        <v>210</v>
      </c>
      <c r="D99" s="6">
        <v>45404.0</v>
      </c>
      <c r="E99" s="3"/>
      <c r="F99" s="3">
        <v>5971.5</v>
      </c>
      <c r="G99" s="3">
        <v>0.0</v>
      </c>
      <c r="H99" s="3">
        <v>537.44</v>
      </c>
      <c r="I99" s="3">
        <v>537.44</v>
      </c>
      <c r="J99" s="7">
        <f t="shared" si="1"/>
        <v>1074.88</v>
      </c>
      <c r="K99" s="3"/>
      <c r="L99" s="3" t="str">
        <f t="shared" si="2"/>
        <v>27AAAFM2359N1ZZ-7758-22042024</v>
      </c>
      <c r="M99" s="8">
        <f t="shared" si="7"/>
        <v>18.00016746</v>
      </c>
      <c r="N99" s="3" t="str">
        <f t="shared" si="4"/>
        <v/>
      </c>
      <c r="O99" s="9" t="str">
        <f t="shared" si="5"/>
        <v/>
      </c>
      <c r="P99" s="3" t="str">
        <f t="shared" si="6"/>
        <v/>
      </c>
      <c r="Q99" s="3"/>
    </row>
    <row r="100" ht="15.75" customHeight="1">
      <c r="A100" s="4" t="s">
        <v>66</v>
      </c>
      <c r="B100" s="5" t="s">
        <v>67</v>
      </c>
      <c r="C100" s="5" t="s">
        <v>211</v>
      </c>
      <c r="D100" s="6">
        <v>45404.0</v>
      </c>
      <c r="E100" s="3"/>
      <c r="F100" s="3">
        <v>10077.2</v>
      </c>
      <c r="G100" s="3">
        <v>0.0</v>
      </c>
      <c r="H100" s="3">
        <v>906.95</v>
      </c>
      <c r="I100" s="3">
        <v>906.95</v>
      </c>
      <c r="J100" s="7">
        <f t="shared" si="1"/>
        <v>1813.9</v>
      </c>
      <c r="K100" s="3"/>
      <c r="L100" s="3" t="str">
        <f t="shared" si="2"/>
        <v>27AABFM0352J1ZH-29/24-25-22042024</v>
      </c>
      <c r="M100" s="8">
        <f t="shared" si="7"/>
        <v>18.00003969</v>
      </c>
      <c r="N100" s="3" t="str">
        <f t="shared" si="4"/>
        <v/>
      </c>
      <c r="O100" s="9" t="str">
        <f t="shared" si="5"/>
        <v/>
      </c>
      <c r="P100" s="3" t="str">
        <f t="shared" si="6"/>
        <v/>
      </c>
      <c r="Q100" s="3"/>
    </row>
    <row r="101" ht="15.75" customHeight="1">
      <c r="A101" s="4" t="s">
        <v>94</v>
      </c>
      <c r="B101" s="5" t="s">
        <v>95</v>
      </c>
      <c r="C101" s="5" t="s">
        <v>212</v>
      </c>
      <c r="D101" s="6">
        <v>45404.0</v>
      </c>
      <c r="E101" s="3"/>
      <c r="F101" s="3">
        <v>9303.06</v>
      </c>
      <c r="G101" s="3">
        <v>0.0</v>
      </c>
      <c r="H101" s="3">
        <v>785.98</v>
      </c>
      <c r="I101" s="3">
        <v>785.98</v>
      </c>
      <c r="J101" s="7">
        <f t="shared" si="1"/>
        <v>1571.96</v>
      </c>
      <c r="K101" s="3"/>
      <c r="L101" s="3" t="str">
        <f t="shared" si="2"/>
        <v>27ABSPP9163G1ZY-10-22042024</v>
      </c>
      <c r="M101" s="8">
        <f t="shared" si="7"/>
        <v>16.89723596</v>
      </c>
      <c r="N101" s="3" t="str">
        <f t="shared" si="4"/>
        <v/>
      </c>
      <c r="O101" s="9" t="str">
        <f t="shared" si="5"/>
        <v/>
      </c>
      <c r="P101" s="3" t="str">
        <f t="shared" si="6"/>
        <v/>
      </c>
      <c r="Q101" s="3"/>
    </row>
    <row r="102" ht="15.75" customHeight="1">
      <c r="A102" s="4" t="s">
        <v>56</v>
      </c>
      <c r="B102" s="5" t="s">
        <v>57</v>
      </c>
      <c r="C102" s="5" t="s">
        <v>213</v>
      </c>
      <c r="D102" s="6">
        <v>45404.0</v>
      </c>
      <c r="E102" s="3"/>
      <c r="F102" s="3">
        <v>49550.0</v>
      </c>
      <c r="G102" s="3">
        <v>0.0</v>
      </c>
      <c r="H102" s="3">
        <v>4460.0</v>
      </c>
      <c r="I102" s="3">
        <v>4460.0</v>
      </c>
      <c r="J102" s="7">
        <f t="shared" si="1"/>
        <v>8920</v>
      </c>
      <c r="K102" s="3"/>
      <c r="L102" s="3" t="str">
        <f t="shared" si="2"/>
        <v>27AAACB2900K1ZZ-4320291106-22042024</v>
      </c>
      <c r="M102" s="8">
        <f t="shared" si="7"/>
        <v>18.00201816</v>
      </c>
      <c r="N102" s="3" t="str">
        <f t="shared" si="4"/>
        <v/>
      </c>
      <c r="O102" s="9" t="str">
        <f t="shared" si="5"/>
        <v/>
      </c>
      <c r="P102" s="3" t="str">
        <f t="shared" si="6"/>
        <v/>
      </c>
      <c r="Q102" s="3"/>
    </row>
    <row r="103" ht="15.75" customHeight="1">
      <c r="A103" s="4" t="s">
        <v>56</v>
      </c>
      <c r="B103" s="5" t="s">
        <v>57</v>
      </c>
      <c r="C103" s="5" t="s">
        <v>214</v>
      </c>
      <c r="D103" s="6">
        <v>45404.0</v>
      </c>
      <c r="E103" s="3"/>
      <c r="F103" s="3">
        <v>80360.0</v>
      </c>
      <c r="G103" s="3">
        <v>0.0</v>
      </c>
      <c r="H103" s="3">
        <v>7232.0</v>
      </c>
      <c r="I103" s="3">
        <v>7232.0</v>
      </c>
      <c r="J103" s="7">
        <f t="shared" si="1"/>
        <v>14464</v>
      </c>
      <c r="K103" s="3"/>
      <c r="L103" s="3" t="str">
        <f t="shared" si="2"/>
        <v>27AAACB2900K1ZZ-4320291107-22042024</v>
      </c>
      <c r="M103" s="8">
        <f t="shared" si="7"/>
        <v>17.99900448</v>
      </c>
      <c r="N103" s="3" t="str">
        <f t="shared" si="4"/>
        <v/>
      </c>
      <c r="O103" s="9" t="str">
        <f t="shared" si="5"/>
        <v/>
      </c>
      <c r="P103" s="3" t="str">
        <f t="shared" si="6"/>
        <v/>
      </c>
      <c r="Q103" s="3"/>
    </row>
    <row r="104" ht="15.75" customHeight="1">
      <c r="A104" s="4" t="s">
        <v>56</v>
      </c>
      <c r="B104" s="5" t="s">
        <v>57</v>
      </c>
      <c r="C104" s="5" t="s">
        <v>215</v>
      </c>
      <c r="D104" s="6">
        <v>45404.0</v>
      </c>
      <c r="E104" s="3"/>
      <c r="F104" s="3">
        <v>80360.0</v>
      </c>
      <c r="G104" s="3">
        <v>0.0</v>
      </c>
      <c r="H104" s="3">
        <v>7232.0</v>
      </c>
      <c r="I104" s="3">
        <v>7232.0</v>
      </c>
      <c r="J104" s="7">
        <f t="shared" si="1"/>
        <v>14464</v>
      </c>
      <c r="K104" s="3"/>
      <c r="L104" s="3" t="str">
        <f t="shared" si="2"/>
        <v>27AAACB2900K1ZZ-4320291108-22042024</v>
      </c>
      <c r="M104" s="8">
        <f t="shared" si="7"/>
        <v>17.99900448</v>
      </c>
      <c r="N104" s="3" t="str">
        <f t="shared" si="4"/>
        <v/>
      </c>
      <c r="O104" s="9" t="str">
        <f t="shared" si="5"/>
        <v/>
      </c>
      <c r="P104" s="3" t="str">
        <f t="shared" si="6"/>
        <v/>
      </c>
      <c r="Q104" s="3"/>
    </row>
    <row r="105" ht="15.75" customHeight="1">
      <c r="A105" s="4" t="s">
        <v>56</v>
      </c>
      <c r="B105" s="5" t="s">
        <v>57</v>
      </c>
      <c r="C105" s="5" t="s">
        <v>216</v>
      </c>
      <c r="D105" s="6">
        <v>45404.0</v>
      </c>
      <c r="E105" s="3"/>
      <c r="F105" s="3">
        <v>37446.0</v>
      </c>
      <c r="G105" s="3">
        <v>0.0</v>
      </c>
      <c r="H105" s="3">
        <v>3370.0</v>
      </c>
      <c r="I105" s="3">
        <v>3370.0</v>
      </c>
      <c r="J105" s="7">
        <f t="shared" si="1"/>
        <v>6740</v>
      </c>
      <c r="K105" s="3"/>
      <c r="L105" s="3" t="str">
        <f t="shared" si="2"/>
        <v>27AAACB2900K1ZZ-4320291109-22042024</v>
      </c>
      <c r="M105" s="8">
        <f t="shared" si="7"/>
        <v>17.99925226</v>
      </c>
      <c r="N105" s="3" t="str">
        <f t="shared" si="4"/>
        <v/>
      </c>
      <c r="O105" s="9" t="str">
        <f t="shared" si="5"/>
        <v/>
      </c>
      <c r="P105" s="3" t="str">
        <f t="shared" si="6"/>
        <v/>
      </c>
      <c r="Q105" s="3"/>
    </row>
    <row r="106" ht="15.75" customHeight="1">
      <c r="A106" s="4" t="s">
        <v>56</v>
      </c>
      <c r="B106" s="5" t="s">
        <v>57</v>
      </c>
      <c r="C106" s="5" t="s">
        <v>217</v>
      </c>
      <c r="D106" s="6">
        <v>45404.0</v>
      </c>
      <c r="E106" s="3"/>
      <c r="F106" s="3">
        <v>141992.0</v>
      </c>
      <c r="G106" s="3">
        <v>0.0</v>
      </c>
      <c r="H106" s="3">
        <v>12779.0</v>
      </c>
      <c r="I106" s="3">
        <v>12779.0</v>
      </c>
      <c r="J106" s="7">
        <f t="shared" si="1"/>
        <v>25558</v>
      </c>
      <c r="K106" s="3"/>
      <c r="L106" s="3" t="str">
        <f t="shared" si="2"/>
        <v>27AAACB2900K1ZZ-4320291111-22042024</v>
      </c>
      <c r="M106" s="8">
        <f t="shared" si="7"/>
        <v>17.99960561</v>
      </c>
      <c r="N106" s="3" t="str">
        <f t="shared" si="4"/>
        <v/>
      </c>
      <c r="O106" s="9" t="str">
        <f t="shared" si="5"/>
        <v/>
      </c>
      <c r="P106" s="3" t="str">
        <f t="shared" si="6"/>
        <v/>
      </c>
      <c r="Q106" s="3"/>
    </row>
    <row r="107" ht="15.75" customHeight="1">
      <c r="A107" s="4" t="s">
        <v>56</v>
      </c>
      <c r="B107" s="5" t="s">
        <v>57</v>
      </c>
      <c r="C107" s="5" t="s">
        <v>218</v>
      </c>
      <c r="D107" s="6">
        <v>45404.0</v>
      </c>
      <c r="E107" s="3"/>
      <c r="F107" s="3">
        <v>186296.0</v>
      </c>
      <c r="G107" s="3">
        <v>0.0</v>
      </c>
      <c r="H107" s="3">
        <v>16766.0</v>
      </c>
      <c r="I107" s="3">
        <v>16766.0</v>
      </c>
      <c r="J107" s="7">
        <f t="shared" si="1"/>
        <v>33532</v>
      </c>
      <c r="K107" s="3"/>
      <c r="L107" s="3" t="str">
        <f t="shared" si="2"/>
        <v>27AAACB2900K1ZZ-4320291113-22042024</v>
      </c>
      <c r="M107" s="8">
        <f t="shared" si="7"/>
        <v>17.99931292</v>
      </c>
      <c r="N107" s="3" t="str">
        <f t="shared" si="4"/>
        <v/>
      </c>
      <c r="O107" s="9" t="str">
        <f t="shared" si="5"/>
        <v/>
      </c>
      <c r="P107" s="3" t="str">
        <f t="shared" si="6"/>
        <v/>
      </c>
      <c r="Q107" s="3"/>
    </row>
    <row r="108" ht="15.75" customHeight="1">
      <c r="A108" s="4" t="s">
        <v>56</v>
      </c>
      <c r="B108" s="5" t="s">
        <v>57</v>
      </c>
      <c r="C108" s="5" t="s">
        <v>219</v>
      </c>
      <c r="D108" s="6">
        <v>45404.0</v>
      </c>
      <c r="E108" s="3"/>
      <c r="F108" s="3">
        <v>17364.0</v>
      </c>
      <c r="G108" s="3">
        <v>0.0</v>
      </c>
      <c r="H108" s="3">
        <v>1563.0</v>
      </c>
      <c r="I108" s="3">
        <v>1563.0</v>
      </c>
      <c r="J108" s="7">
        <f t="shared" si="1"/>
        <v>3126</v>
      </c>
      <c r="K108" s="3"/>
      <c r="L108" s="3" t="str">
        <f t="shared" si="2"/>
        <v>27AAACB2900K1ZZ-4320291114-22042024</v>
      </c>
      <c r="M108" s="8">
        <f t="shared" si="7"/>
        <v>18.00276434</v>
      </c>
      <c r="N108" s="3" t="str">
        <f t="shared" si="4"/>
        <v/>
      </c>
      <c r="O108" s="9" t="str">
        <f t="shared" si="5"/>
        <v/>
      </c>
      <c r="P108" s="3" t="str">
        <f t="shared" si="6"/>
        <v/>
      </c>
      <c r="Q108" s="3"/>
    </row>
    <row r="109" ht="15.75" customHeight="1">
      <c r="A109" s="4" t="s">
        <v>179</v>
      </c>
      <c r="B109" s="5" t="s">
        <v>180</v>
      </c>
      <c r="C109" s="5" t="s">
        <v>220</v>
      </c>
      <c r="D109" s="6">
        <v>45404.0</v>
      </c>
      <c r="E109" s="3"/>
      <c r="F109" s="3">
        <v>101263.5</v>
      </c>
      <c r="G109" s="3">
        <v>0.0</v>
      </c>
      <c r="H109" s="3">
        <v>9114.0</v>
      </c>
      <c r="I109" s="3">
        <v>9114.0</v>
      </c>
      <c r="J109" s="7">
        <f t="shared" si="1"/>
        <v>18228</v>
      </c>
      <c r="K109" s="3"/>
      <c r="L109" s="3" t="str">
        <f t="shared" si="2"/>
        <v>27AAACC3840K1ZP-424587514-22042024</v>
      </c>
      <c r="M109" s="8">
        <f t="shared" si="7"/>
        <v>18.00056289</v>
      </c>
      <c r="N109" s="3" t="str">
        <f t="shared" si="4"/>
        <v/>
      </c>
      <c r="O109" s="9" t="str">
        <f t="shared" si="5"/>
        <v/>
      </c>
      <c r="P109" s="3" t="str">
        <f t="shared" si="6"/>
        <v/>
      </c>
      <c r="Q109" s="3"/>
    </row>
    <row r="110" ht="15.75" customHeight="1">
      <c r="A110" s="4" t="s">
        <v>56</v>
      </c>
      <c r="B110" s="5" t="s">
        <v>57</v>
      </c>
      <c r="C110" s="5" t="s">
        <v>221</v>
      </c>
      <c r="D110" s="6">
        <v>45404.0</v>
      </c>
      <c r="E110" s="3"/>
      <c r="F110" s="3">
        <v>140588.0</v>
      </c>
      <c r="G110" s="3">
        <v>0.0</v>
      </c>
      <c r="H110" s="3">
        <v>12653.0</v>
      </c>
      <c r="I110" s="3">
        <v>12653.0</v>
      </c>
      <c r="J110" s="7">
        <f t="shared" si="1"/>
        <v>25306</v>
      </c>
      <c r="K110" s="3"/>
      <c r="L110" s="3" t="str">
        <f t="shared" si="2"/>
        <v>27AAACB2900K1ZZ-4320291115-22042024</v>
      </c>
      <c r="M110" s="8">
        <f t="shared" si="7"/>
        <v>18.00011381</v>
      </c>
      <c r="N110" s="3" t="str">
        <f t="shared" si="4"/>
        <v/>
      </c>
      <c r="O110" s="9" t="str">
        <f t="shared" si="5"/>
        <v/>
      </c>
      <c r="P110" s="3" t="str">
        <f t="shared" si="6"/>
        <v/>
      </c>
      <c r="Q110" s="3"/>
    </row>
    <row r="111" ht="15.75" customHeight="1">
      <c r="A111" s="4" t="s">
        <v>56</v>
      </c>
      <c r="B111" s="5" t="s">
        <v>57</v>
      </c>
      <c r="C111" s="5" t="s">
        <v>222</v>
      </c>
      <c r="D111" s="6">
        <v>45404.0</v>
      </c>
      <c r="E111" s="3"/>
      <c r="F111" s="3">
        <v>32642.0</v>
      </c>
      <c r="G111" s="3">
        <v>0.0</v>
      </c>
      <c r="H111" s="3">
        <v>2938.0</v>
      </c>
      <c r="I111" s="3">
        <v>2938.0</v>
      </c>
      <c r="J111" s="7">
        <f t="shared" si="1"/>
        <v>5876</v>
      </c>
      <c r="K111" s="3"/>
      <c r="L111" s="3" t="str">
        <f t="shared" si="2"/>
        <v>27AAACB2900K1ZZ-4320291116-22042024</v>
      </c>
      <c r="M111" s="8">
        <f t="shared" si="7"/>
        <v>18.00134796</v>
      </c>
      <c r="N111" s="3" t="str">
        <f t="shared" si="4"/>
        <v/>
      </c>
      <c r="O111" s="9" t="str">
        <f t="shared" si="5"/>
        <v/>
      </c>
      <c r="P111" s="3" t="str">
        <f t="shared" si="6"/>
        <v/>
      </c>
      <c r="Q111" s="3"/>
    </row>
    <row r="112" ht="15.75" customHeight="1">
      <c r="A112" s="4" t="s">
        <v>56</v>
      </c>
      <c r="B112" s="5" t="s">
        <v>57</v>
      </c>
      <c r="C112" s="5" t="s">
        <v>223</v>
      </c>
      <c r="D112" s="6">
        <v>45404.0</v>
      </c>
      <c r="E112" s="3"/>
      <c r="F112" s="3">
        <v>170770.0</v>
      </c>
      <c r="G112" s="3">
        <v>0.0</v>
      </c>
      <c r="H112" s="3">
        <v>15369.0</v>
      </c>
      <c r="I112" s="3">
        <v>15369.0</v>
      </c>
      <c r="J112" s="7">
        <f t="shared" si="1"/>
        <v>30738</v>
      </c>
      <c r="K112" s="3"/>
      <c r="L112" s="3" t="str">
        <f t="shared" si="2"/>
        <v>27AAACB2900K1ZZ-4320291124-22042024</v>
      </c>
      <c r="M112" s="8">
        <f t="shared" si="7"/>
        <v>17.99964865</v>
      </c>
      <c r="N112" s="3" t="str">
        <f t="shared" si="4"/>
        <v/>
      </c>
      <c r="O112" s="9" t="str">
        <f t="shared" si="5"/>
        <v/>
      </c>
      <c r="P112" s="3" t="str">
        <f t="shared" si="6"/>
        <v/>
      </c>
      <c r="Q112" s="3"/>
    </row>
    <row r="113" ht="15.75" customHeight="1">
      <c r="A113" s="4" t="s">
        <v>169</v>
      </c>
      <c r="B113" s="5" t="s">
        <v>170</v>
      </c>
      <c r="C113" s="5" t="s">
        <v>224</v>
      </c>
      <c r="D113" s="6">
        <v>45406.0</v>
      </c>
      <c r="E113" s="3"/>
      <c r="F113" s="3">
        <v>10006.0</v>
      </c>
      <c r="G113" s="3">
        <v>0.0</v>
      </c>
      <c r="H113" s="3">
        <v>900.54</v>
      </c>
      <c r="I113" s="3">
        <v>900.54</v>
      </c>
      <c r="J113" s="7">
        <f t="shared" si="1"/>
        <v>1801.08</v>
      </c>
      <c r="K113" s="3"/>
      <c r="L113" s="3" t="str">
        <f t="shared" si="2"/>
        <v>27ADJPR1065Q1ZV-SMI/143/24-25-24042024</v>
      </c>
      <c r="M113" s="8">
        <f t="shared" si="7"/>
        <v>18</v>
      </c>
      <c r="N113" s="3" t="str">
        <f t="shared" si="4"/>
        <v/>
      </c>
      <c r="O113" s="9" t="str">
        <f t="shared" si="5"/>
        <v/>
      </c>
      <c r="P113" s="3" t="str">
        <f t="shared" si="6"/>
        <v/>
      </c>
      <c r="Q113" s="3"/>
    </row>
    <row r="114" ht="15.75" customHeight="1">
      <c r="A114" s="4" t="s">
        <v>225</v>
      </c>
      <c r="B114" s="5" t="s">
        <v>226</v>
      </c>
      <c r="C114" s="5" t="s">
        <v>227</v>
      </c>
      <c r="D114" s="6">
        <v>45406.0</v>
      </c>
      <c r="E114" s="3"/>
      <c r="F114" s="3">
        <v>4043.6</v>
      </c>
      <c r="G114" s="3">
        <v>0.0</v>
      </c>
      <c r="H114" s="3">
        <v>363.92</v>
      </c>
      <c r="I114" s="3">
        <v>363.92</v>
      </c>
      <c r="J114" s="7">
        <f t="shared" si="1"/>
        <v>727.84</v>
      </c>
      <c r="K114" s="3"/>
      <c r="L114" s="3" t="str">
        <f t="shared" si="2"/>
        <v>27AAFFM6083Q1ZJ-1034-24042024</v>
      </c>
      <c r="M114" s="8">
        <f t="shared" si="7"/>
        <v>17.99980216</v>
      </c>
      <c r="N114" s="3" t="str">
        <f t="shared" si="4"/>
        <v/>
      </c>
      <c r="O114" s="9" t="str">
        <f t="shared" si="5"/>
        <v/>
      </c>
      <c r="P114" s="3" t="str">
        <f t="shared" si="6"/>
        <v/>
      </c>
      <c r="Q114" s="3"/>
    </row>
    <row r="115" ht="15.75" customHeight="1">
      <c r="A115" s="4" t="s">
        <v>139</v>
      </c>
      <c r="B115" s="5" t="s">
        <v>140</v>
      </c>
      <c r="C115" s="5" t="s">
        <v>228</v>
      </c>
      <c r="D115" s="6">
        <v>45406.0</v>
      </c>
      <c r="E115" s="3"/>
      <c r="F115" s="3">
        <v>3700.0</v>
      </c>
      <c r="G115" s="3">
        <v>0.0</v>
      </c>
      <c r="H115" s="3">
        <v>333.0</v>
      </c>
      <c r="I115" s="3">
        <v>333.0</v>
      </c>
      <c r="J115" s="7">
        <f t="shared" si="1"/>
        <v>666</v>
      </c>
      <c r="K115" s="3"/>
      <c r="L115" s="3" t="str">
        <f t="shared" si="2"/>
        <v>27AAAFU1306P1Z2-6990-24042024</v>
      </c>
      <c r="M115" s="8">
        <f t="shared" si="7"/>
        <v>18</v>
      </c>
      <c r="N115" s="3" t="str">
        <f t="shared" si="4"/>
        <v/>
      </c>
      <c r="O115" s="9" t="str">
        <f t="shared" si="5"/>
        <v/>
      </c>
      <c r="P115" s="3" t="str">
        <f t="shared" si="6"/>
        <v/>
      </c>
      <c r="Q115" s="3"/>
    </row>
    <row r="116" ht="15.75" customHeight="1">
      <c r="A116" s="4" t="s">
        <v>229</v>
      </c>
      <c r="B116" s="5" t="s">
        <v>230</v>
      </c>
      <c r="C116" s="5" t="s">
        <v>231</v>
      </c>
      <c r="D116" s="6">
        <v>45406.0</v>
      </c>
      <c r="E116" s="3"/>
      <c r="F116" s="3">
        <v>20503.5</v>
      </c>
      <c r="G116" s="3">
        <v>0.0</v>
      </c>
      <c r="H116" s="3">
        <v>1845.0</v>
      </c>
      <c r="I116" s="3">
        <v>1845.0</v>
      </c>
      <c r="J116" s="7">
        <f t="shared" si="1"/>
        <v>3690</v>
      </c>
      <c r="K116" s="3"/>
      <c r="L116" s="3" t="str">
        <f t="shared" si="2"/>
        <v>27AADPN9795N1ZO-106-24042024</v>
      </c>
      <c r="M116" s="8">
        <f t="shared" si="7"/>
        <v>17.99692735</v>
      </c>
      <c r="N116" s="3" t="str">
        <f t="shared" si="4"/>
        <v/>
      </c>
      <c r="O116" s="9" t="str">
        <f t="shared" si="5"/>
        <v/>
      </c>
      <c r="P116" s="3" t="str">
        <f t="shared" si="6"/>
        <v/>
      </c>
      <c r="Q116" s="3"/>
    </row>
    <row r="117" ht="15.75" customHeight="1">
      <c r="A117" s="4" t="s">
        <v>232</v>
      </c>
      <c r="B117" s="5"/>
      <c r="C117" s="5" t="s">
        <v>233</v>
      </c>
      <c r="D117" s="6">
        <v>45406.0</v>
      </c>
      <c r="E117" s="3"/>
      <c r="F117" s="3">
        <v>193.0</v>
      </c>
      <c r="G117" s="3">
        <v>0.0</v>
      </c>
      <c r="H117" s="3">
        <v>17.37</v>
      </c>
      <c r="I117" s="3">
        <v>17.37</v>
      </c>
      <c r="J117" s="7">
        <f t="shared" si="1"/>
        <v>34.74</v>
      </c>
      <c r="K117" s="3"/>
      <c r="L117" s="3" t="str">
        <f t="shared" si="2"/>
        <v/>
      </c>
      <c r="M117" s="8">
        <f t="shared" si="7"/>
        <v>18</v>
      </c>
      <c r="N117" s="3" t="str">
        <f t="shared" si="4"/>
        <v>GSTIN not entered</v>
      </c>
      <c r="O117" s="9" t="str">
        <f t="shared" si="5"/>
        <v/>
      </c>
      <c r="P117" s="3" t="str">
        <f t="shared" si="6"/>
        <v/>
      </c>
      <c r="Q117" s="3"/>
    </row>
    <row r="118" ht="15.75" customHeight="1">
      <c r="A118" s="4" t="s">
        <v>232</v>
      </c>
      <c r="B118" s="5"/>
      <c r="C118" s="5" t="s">
        <v>234</v>
      </c>
      <c r="D118" s="6">
        <v>45406.0</v>
      </c>
      <c r="E118" s="3"/>
      <c r="F118" s="3">
        <v>106.0</v>
      </c>
      <c r="G118" s="3">
        <v>0.0</v>
      </c>
      <c r="H118" s="3">
        <v>9.54</v>
      </c>
      <c r="I118" s="3">
        <v>9.54</v>
      </c>
      <c r="J118" s="7">
        <f t="shared" si="1"/>
        <v>19.08</v>
      </c>
      <c r="K118" s="3"/>
      <c r="L118" s="3" t="str">
        <f t="shared" si="2"/>
        <v/>
      </c>
      <c r="M118" s="8">
        <f t="shared" si="7"/>
        <v>18</v>
      </c>
      <c r="N118" s="3" t="str">
        <f t="shared" si="4"/>
        <v>GSTIN not entered</v>
      </c>
      <c r="O118" s="9" t="str">
        <f t="shared" si="5"/>
        <v/>
      </c>
      <c r="P118" s="3" t="str">
        <f t="shared" si="6"/>
        <v/>
      </c>
      <c r="Q118" s="3"/>
    </row>
    <row r="119" ht="15.75" customHeight="1">
      <c r="A119" s="4" t="s">
        <v>69</v>
      </c>
      <c r="B119" s="5" t="s">
        <v>70</v>
      </c>
      <c r="C119" s="5" t="s">
        <v>235</v>
      </c>
      <c r="D119" s="6">
        <v>45407.0</v>
      </c>
      <c r="E119" s="3"/>
      <c r="F119" s="3">
        <v>21955.5</v>
      </c>
      <c r="G119" s="3">
        <v>0.0</v>
      </c>
      <c r="H119" s="3">
        <v>1976.0</v>
      </c>
      <c r="I119" s="3">
        <v>1976.0</v>
      </c>
      <c r="J119" s="7">
        <f t="shared" si="1"/>
        <v>3952</v>
      </c>
      <c r="K119" s="3"/>
      <c r="L119" s="3" t="str">
        <f t="shared" si="2"/>
        <v>27AAEFR8996A1ZU-442/24-25-25042024</v>
      </c>
      <c r="M119" s="8">
        <f t="shared" si="7"/>
        <v>18.00004555</v>
      </c>
      <c r="N119" s="3" t="str">
        <f t="shared" si="4"/>
        <v/>
      </c>
      <c r="O119" s="9" t="str">
        <f t="shared" si="5"/>
        <v/>
      </c>
      <c r="P119" s="3" t="str">
        <f t="shared" si="6"/>
        <v/>
      </c>
      <c r="Q119" s="3"/>
    </row>
    <row r="120" ht="15.75" customHeight="1">
      <c r="A120" s="4" t="s">
        <v>132</v>
      </c>
      <c r="B120" s="5" t="s">
        <v>133</v>
      </c>
      <c r="C120" s="5" t="s">
        <v>236</v>
      </c>
      <c r="D120" s="6">
        <v>45407.0</v>
      </c>
      <c r="E120" s="3"/>
      <c r="F120" s="3">
        <v>4065.0</v>
      </c>
      <c r="G120" s="3">
        <v>0.0</v>
      </c>
      <c r="H120" s="3">
        <v>365.85</v>
      </c>
      <c r="I120" s="3">
        <v>365.85</v>
      </c>
      <c r="J120" s="7">
        <f t="shared" si="1"/>
        <v>731.7</v>
      </c>
      <c r="K120" s="3"/>
      <c r="L120" s="3" t="str">
        <f t="shared" si="2"/>
        <v>27AADPS1585K1Z9-24-25/W 0475-25042024</v>
      </c>
      <c r="M120" s="8">
        <f t="shared" si="7"/>
        <v>18</v>
      </c>
      <c r="N120" s="3" t="str">
        <f t="shared" si="4"/>
        <v/>
      </c>
      <c r="O120" s="9" t="str">
        <f t="shared" si="5"/>
        <v/>
      </c>
      <c r="P120" s="3" t="str">
        <f t="shared" si="6"/>
        <v/>
      </c>
      <c r="Q120" s="3"/>
    </row>
    <row r="121" ht="15.75" customHeight="1">
      <c r="A121" s="4" t="s">
        <v>237</v>
      </c>
      <c r="B121" s="5" t="s">
        <v>238</v>
      </c>
      <c r="C121" s="5" t="s">
        <v>239</v>
      </c>
      <c r="D121" s="6">
        <v>45407.0</v>
      </c>
      <c r="E121" s="3"/>
      <c r="F121" s="3">
        <v>39076.4</v>
      </c>
      <c r="G121" s="3">
        <v>46110.15</v>
      </c>
      <c r="H121" s="3">
        <v>0.0</v>
      </c>
      <c r="I121" s="3">
        <v>0.0</v>
      </c>
      <c r="J121" s="7">
        <f t="shared" si="1"/>
        <v>46110.15</v>
      </c>
      <c r="K121" s="3"/>
      <c r="L121" s="3" t="str">
        <f t="shared" si="2"/>
        <v>24ABCFP6526F1ZE-148-25042024</v>
      </c>
      <c r="M121" s="8">
        <f t="shared" si="7"/>
        <v>117.9999949</v>
      </c>
      <c r="N121" s="3" t="str">
        <f t="shared" si="4"/>
        <v/>
      </c>
      <c r="O121" s="9" t="str">
        <f t="shared" si="5"/>
        <v/>
      </c>
      <c r="P121" s="3" t="str">
        <f t="shared" si="6"/>
        <v/>
      </c>
      <c r="Q121" s="3"/>
    </row>
    <row r="122" ht="15.75" customHeight="1">
      <c r="A122" s="4" t="s">
        <v>56</v>
      </c>
      <c r="B122" s="5" t="s">
        <v>57</v>
      </c>
      <c r="C122" s="5" t="s">
        <v>240</v>
      </c>
      <c r="D122" s="6">
        <v>45407.0</v>
      </c>
      <c r="E122" s="3"/>
      <c r="F122" s="3">
        <v>75330.0</v>
      </c>
      <c r="G122" s="3">
        <v>0.0</v>
      </c>
      <c r="H122" s="3">
        <v>6780.0</v>
      </c>
      <c r="I122" s="3">
        <v>6780.0</v>
      </c>
      <c r="J122" s="7">
        <f t="shared" si="1"/>
        <v>13560</v>
      </c>
      <c r="K122" s="3"/>
      <c r="L122" s="3" t="str">
        <f t="shared" si="2"/>
        <v>27AAACB2900K1ZZ-4320291380-25042024</v>
      </c>
      <c r="M122" s="8">
        <f t="shared" si="7"/>
        <v>18.0007965</v>
      </c>
      <c r="N122" s="3" t="str">
        <f t="shared" si="4"/>
        <v/>
      </c>
      <c r="O122" s="9" t="str">
        <f t="shared" si="5"/>
        <v/>
      </c>
      <c r="P122" s="3" t="str">
        <f t="shared" si="6"/>
        <v/>
      </c>
      <c r="Q122" s="3"/>
    </row>
    <row r="123" ht="15.75" customHeight="1">
      <c r="A123" s="4" t="s">
        <v>56</v>
      </c>
      <c r="B123" s="5" t="s">
        <v>57</v>
      </c>
      <c r="C123" s="5" t="s">
        <v>241</v>
      </c>
      <c r="D123" s="6">
        <v>45407.0</v>
      </c>
      <c r="E123" s="3"/>
      <c r="F123" s="3">
        <v>90130.0</v>
      </c>
      <c r="G123" s="3">
        <v>0.0</v>
      </c>
      <c r="H123" s="3">
        <v>8112.0</v>
      </c>
      <c r="I123" s="3">
        <v>8112.0</v>
      </c>
      <c r="J123" s="7">
        <f t="shared" si="1"/>
        <v>16224</v>
      </c>
      <c r="K123" s="3"/>
      <c r="L123" s="3" t="str">
        <f t="shared" si="2"/>
        <v>27AAACB2900K1ZZ-4320291382-25042024</v>
      </c>
      <c r="M123" s="8">
        <f t="shared" si="7"/>
        <v>18.00066571</v>
      </c>
      <c r="N123" s="3" t="str">
        <f t="shared" si="4"/>
        <v/>
      </c>
      <c r="O123" s="9" t="str">
        <f t="shared" si="5"/>
        <v/>
      </c>
      <c r="P123" s="3" t="str">
        <f t="shared" si="6"/>
        <v/>
      </c>
      <c r="Q123" s="3"/>
    </row>
    <row r="124" ht="15.75" customHeight="1">
      <c r="A124" s="4" t="s">
        <v>56</v>
      </c>
      <c r="B124" s="5" t="s">
        <v>57</v>
      </c>
      <c r="C124" s="5" t="s">
        <v>242</v>
      </c>
      <c r="D124" s="6">
        <v>45407.0</v>
      </c>
      <c r="E124" s="3"/>
      <c r="F124" s="3">
        <v>17104.0</v>
      </c>
      <c r="G124" s="3">
        <v>0.0</v>
      </c>
      <c r="H124" s="3">
        <v>1539.0</v>
      </c>
      <c r="I124" s="3">
        <v>1539.0</v>
      </c>
      <c r="J124" s="7">
        <f t="shared" si="1"/>
        <v>3078</v>
      </c>
      <c r="K124" s="3"/>
      <c r="L124" s="3" t="str">
        <f t="shared" si="2"/>
        <v>27AAACB2900K1ZZ-4320291384-25042024</v>
      </c>
      <c r="M124" s="8">
        <f t="shared" si="7"/>
        <v>17.99579046</v>
      </c>
      <c r="N124" s="3" t="str">
        <f t="shared" si="4"/>
        <v/>
      </c>
      <c r="O124" s="9" t="str">
        <f t="shared" si="5"/>
        <v/>
      </c>
      <c r="P124" s="3" t="str">
        <f t="shared" si="6"/>
        <v/>
      </c>
      <c r="Q124" s="3"/>
    </row>
    <row r="125" ht="15.75" customHeight="1">
      <c r="A125" s="4" t="s">
        <v>56</v>
      </c>
      <c r="B125" s="5" t="s">
        <v>57</v>
      </c>
      <c r="C125" s="5" t="s">
        <v>243</v>
      </c>
      <c r="D125" s="6">
        <v>45407.0</v>
      </c>
      <c r="E125" s="3"/>
      <c r="F125" s="3">
        <v>100800.0</v>
      </c>
      <c r="G125" s="3">
        <v>0.0</v>
      </c>
      <c r="H125" s="3">
        <v>9072.0</v>
      </c>
      <c r="I125" s="3">
        <v>9072.0</v>
      </c>
      <c r="J125" s="7">
        <f t="shared" si="1"/>
        <v>18144</v>
      </c>
      <c r="K125" s="3"/>
      <c r="L125" s="3" t="str">
        <f t="shared" si="2"/>
        <v>27AAACB2900K1ZZ-4320291385-25042024</v>
      </c>
      <c r="M125" s="8">
        <f t="shared" si="7"/>
        <v>18</v>
      </c>
      <c r="N125" s="3" t="str">
        <f t="shared" si="4"/>
        <v/>
      </c>
      <c r="O125" s="9" t="str">
        <f t="shared" si="5"/>
        <v/>
      </c>
      <c r="P125" s="3" t="str">
        <f t="shared" si="6"/>
        <v/>
      </c>
      <c r="Q125" s="3"/>
    </row>
    <row r="126" ht="15.75" customHeight="1">
      <c r="A126" s="4" t="s">
        <v>56</v>
      </c>
      <c r="B126" s="5" t="s">
        <v>57</v>
      </c>
      <c r="C126" s="5" t="s">
        <v>244</v>
      </c>
      <c r="D126" s="6">
        <v>45407.0</v>
      </c>
      <c r="E126" s="3"/>
      <c r="F126" s="3">
        <v>55212.0</v>
      </c>
      <c r="G126" s="3">
        <v>0.0</v>
      </c>
      <c r="H126" s="3">
        <v>4969.0</v>
      </c>
      <c r="I126" s="3">
        <v>4969.0</v>
      </c>
      <c r="J126" s="7">
        <f t="shared" si="1"/>
        <v>9938</v>
      </c>
      <c r="K126" s="3"/>
      <c r="L126" s="3" t="str">
        <f t="shared" si="2"/>
        <v>27AAACB2900K1ZZ-4320291421-25042024</v>
      </c>
      <c r="M126" s="8">
        <f t="shared" si="7"/>
        <v>17.99971021</v>
      </c>
      <c r="N126" s="3" t="str">
        <f t="shared" si="4"/>
        <v/>
      </c>
      <c r="O126" s="9" t="str">
        <f t="shared" si="5"/>
        <v/>
      </c>
      <c r="P126" s="3" t="str">
        <f t="shared" si="6"/>
        <v/>
      </c>
      <c r="Q126" s="3"/>
    </row>
    <row r="127" ht="15.75" customHeight="1">
      <c r="A127" s="4" t="s">
        <v>56</v>
      </c>
      <c r="B127" s="5" t="s">
        <v>57</v>
      </c>
      <c r="C127" s="5" t="s">
        <v>245</v>
      </c>
      <c r="D127" s="6">
        <v>45407.0</v>
      </c>
      <c r="E127" s="3"/>
      <c r="F127" s="3">
        <v>68288.0</v>
      </c>
      <c r="G127" s="3">
        <v>0.0</v>
      </c>
      <c r="H127" s="3">
        <v>6146.0</v>
      </c>
      <c r="I127" s="3">
        <v>6146.0</v>
      </c>
      <c r="J127" s="7">
        <f t="shared" si="1"/>
        <v>12292</v>
      </c>
      <c r="K127" s="3"/>
      <c r="L127" s="3" t="str">
        <f t="shared" si="2"/>
        <v>27AAACB2900K1ZZ-4320291422-25042024</v>
      </c>
      <c r="M127" s="8">
        <f t="shared" si="7"/>
        <v>18.0002343</v>
      </c>
      <c r="N127" s="3" t="str">
        <f t="shared" si="4"/>
        <v/>
      </c>
      <c r="O127" s="9" t="str">
        <f t="shared" si="5"/>
        <v/>
      </c>
      <c r="P127" s="3" t="str">
        <f t="shared" si="6"/>
        <v/>
      </c>
      <c r="Q127" s="3"/>
    </row>
    <row r="128" ht="15.75" customHeight="1">
      <c r="A128" s="4" t="s">
        <v>195</v>
      </c>
      <c r="B128" s="5" t="s">
        <v>196</v>
      </c>
      <c r="C128" s="5" t="s">
        <v>246</v>
      </c>
      <c r="D128" s="6">
        <v>45407.0</v>
      </c>
      <c r="E128" s="3"/>
      <c r="F128" s="3">
        <v>700.0</v>
      </c>
      <c r="G128" s="3">
        <v>0.0</v>
      </c>
      <c r="H128" s="3">
        <v>63.0</v>
      </c>
      <c r="I128" s="3">
        <v>63.0</v>
      </c>
      <c r="J128" s="7">
        <f t="shared" si="1"/>
        <v>126</v>
      </c>
      <c r="K128" s="3"/>
      <c r="L128" s="3" t="str">
        <f t="shared" si="2"/>
        <v>27ACIPK1680N1Z6-195/24-25-25042024</v>
      </c>
      <c r="M128" s="8">
        <f t="shared" si="7"/>
        <v>18</v>
      </c>
      <c r="N128" s="3" t="str">
        <f t="shared" si="4"/>
        <v/>
      </c>
      <c r="O128" s="9" t="str">
        <f t="shared" si="5"/>
        <v/>
      </c>
      <c r="P128" s="3" t="str">
        <f t="shared" si="6"/>
        <v/>
      </c>
      <c r="Q128" s="3"/>
    </row>
    <row r="129" ht="15.75" customHeight="1">
      <c r="A129" s="4" t="s">
        <v>108</v>
      </c>
      <c r="B129" s="5" t="s">
        <v>109</v>
      </c>
      <c r="C129" s="5" t="s">
        <v>247</v>
      </c>
      <c r="D129" s="6">
        <v>45408.0</v>
      </c>
      <c r="E129" s="3"/>
      <c r="F129" s="3">
        <v>1355.84</v>
      </c>
      <c r="G129" s="3">
        <v>0.0</v>
      </c>
      <c r="H129" s="3">
        <v>122.03</v>
      </c>
      <c r="I129" s="3">
        <v>122.03</v>
      </c>
      <c r="J129" s="7">
        <f t="shared" si="1"/>
        <v>244.06</v>
      </c>
      <c r="K129" s="3"/>
      <c r="L129" s="3" t="str">
        <f t="shared" si="2"/>
        <v>27AAFFM4787K1ZO-B567/24-25-26042024</v>
      </c>
      <c r="M129" s="8">
        <f t="shared" si="7"/>
        <v>18.00064904</v>
      </c>
      <c r="N129" s="3" t="str">
        <f t="shared" si="4"/>
        <v/>
      </c>
      <c r="O129" s="9" t="str">
        <f t="shared" si="5"/>
        <v/>
      </c>
      <c r="P129" s="3" t="str">
        <f t="shared" si="6"/>
        <v/>
      </c>
      <c r="Q129" s="3"/>
    </row>
    <row r="130" ht="15.75" customHeight="1">
      <c r="A130" s="4" t="s">
        <v>108</v>
      </c>
      <c r="B130" s="5" t="s">
        <v>109</v>
      </c>
      <c r="C130" s="5" t="s">
        <v>248</v>
      </c>
      <c r="D130" s="6">
        <v>45408.0</v>
      </c>
      <c r="E130" s="3"/>
      <c r="F130" s="3">
        <v>700.72</v>
      </c>
      <c r="G130" s="3">
        <v>0.0</v>
      </c>
      <c r="H130" s="3">
        <v>63.06</v>
      </c>
      <c r="I130" s="3">
        <v>63.06</v>
      </c>
      <c r="J130" s="7">
        <f t="shared" si="1"/>
        <v>126.12</v>
      </c>
      <c r="K130" s="3"/>
      <c r="L130" s="3" t="str">
        <f t="shared" si="2"/>
        <v>27AAFFM4787K1ZO-B568/24-25-26042024</v>
      </c>
      <c r="M130" s="8">
        <f t="shared" si="7"/>
        <v>17.99862998</v>
      </c>
      <c r="N130" s="3" t="str">
        <f t="shared" si="4"/>
        <v/>
      </c>
      <c r="O130" s="9" t="str">
        <f t="shared" si="5"/>
        <v/>
      </c>
      <c r="P130" s="3" t="str">
        <f t="shared" si="6"/>
        <v/>
      </c>
      <c r="Q130" s="3"/>
    </row>
    <row r="131" ht="15.75" customHeight="1">
      <c r="A131" s="4" t="s">
        <v>129</v>
      </c>
      <c r="B131" s="5" t="s">
        <v>130</v>
      </c>
      <c r="C131" s="5" t="s">
        <v>249</v>
      </c>
      <c r="D131" s="6">
        <v>45408.0</v>
      </c>
      <c r="E131" s="3"/>
      <c r="F131" s="3">
        <v>3200.0</v>
      </c>
      <c r="G131" s="3">
        <v>0.0</v>
      </c>
      <c r="H131" s="3">
        <v>288.0</v>
      </c>
      <c r="I131" s="3">
        <v>288.0</v>
      </c>
      <c r="J131" s="7">
        <f t="shared" si="1"/>
        <v>576</v>
      </c>
      <c r="K131" s="3"/>
      <c r="L131" s="3" t="str">
        <f t="shared" si="2"/>
        <v>27AIKPY6401D1Z5-38-26042024</v>
      </c>
      <c r="M131" s="8">
        <f t="shared" si="7"/>
        <v>18</v>
      </c>
      <c r="N131" s="3" t="str">
        <f t="shared" si="4"/>
        <v/>
      </c>
      <c r="O131" s="9" t="str">
        <f t="shared" si="5"/>
        <v/>
      </c>
      <c r="P131" s="3" t="str">
        <f t="shared" si="6"/>
        <v/>
      </c>
      <c r="Q131" s="3"/>
    </row>
    <row r="132" ht="15.75" customHeight="1">
      <c r="A132" s="4" t="s">
        <v>250</v>
      </c>
      <c r="B132" s="5" t="s">
        <v>251</v>
      </c>
      <c r="C132" s="5" t="s">
        <v>252</v>
      </c>
      <c r="D132" s="6">
        <v>45408.0</v>
      </c>
      <c r="E132" s="3"/>
      <c r="F132" s="3">
        <v>44811.0</v>
      </c>
      <c r="G132" s="3">
        <v>0.0</v>
      </c>
      <c r="H132" s="3">
        <v>4032.99</v>
      </c>
      <c r="I132" s="3">
        <v>4032.99</v>
      </c>
      <c r="J132" s="7">
        <f t="shared" si="1"/>
        <v>8065.98</v>
      </c>
      <c r="K132" s="3"/>
      <c r="L132" s="3" t="str">
        <f t="shared" si="2"/>
        <v>27AIQPC0343L1Z7-6289/24-25-26042024</v>
      </c>
      <c r="M132" s="8">
        <f t="shared" si="7"/>
        <v>18</v>
      </c>
      <c r="N132" s="3" t="str">
        <f t="shared" si="4"/>
        <v/>
      </c>
      <c r="O132" s="9" t="str">
        <f t="shared" si="5"/>
        <v/>
      </c>
      <c r="P132" s="3" t="str">
        <f t="shared" si="6"/>
        <v/>
      </c>
      <c r="Q132" s="3"/>
    </row>
    <row r="133" ht="15.75" customHeight="1">
      <c r="A133" s="4" t="s">
        <v>47</v>
      </c>
      <c r="B133" s="5" t="s">
        <v>48</v>
      </c>
      <c r="C133" s="5" t="s">
        <v>253</v>
      </c>
      <c r="D133" s="6">
        <v>45408.0</v>
      </c>
      <c r="E133" s="3"/>
      <c r="F133" s="3">
        <v>7798.5</v>
      </c>
      <c r="G133" s="3">
        <v>0.0</v>
      </c>
      <c r="H133" s="3">
        <v>701.87</v>
      </c>
      <c r="I133" s="3">
        <v>701.87</v>
      </c>
      <c r="J133" s="7">
        <f t="shared" si="1"/>
        <v>1403.74</v>
      </c>
      <c r="K133" s="3"/>
      <c r="L133" s="3" t="str">
        <f t="shared" si="2"/>
        <v>27AAAFM2359N1ZZ-7772-26042024</v>
      </c>
      <c r="M133" s="8">
        <f t="shared" si="7"/>
        <v>18.00012823</v>
      </c>
      <c r="N133" s="3" t="str">
        <f t="shared" si="4"/>
        <v/>
      </c>
      <c r="O133" s="9" t="str">
        <f t="shared" si="5"/>
        <v/>
      </c>
      <c r="P133" s="3" t="str">
        <f t="shared" si="6"/>
        <v/>
      </c>
      <c r="Q133" s="3"/>
    </row>
    <row r="134" ht="15.75" customHeight="1">
      <c r="A134" s="4" t="s">
        <v>254</v>
      </c>
      <c r="B134" s="5" t="s">
        <v>255</v>
      </c>
      <c r="C134" s="5" t="s">
        <v>256</v>
      </c>
      <c r="D134" s="6">
        <v>45408.0</v>
      </c>
      <c r="E134" s="3"/>
      <c r="F134" s="3">
        <v>2250.0</v>
      </c>
      <c r="G134" s="3">
        <v>0.0</v>
      </c>
      <c r="H134" s="3">
        <v>202.5</v>
      </c>
      <c r="I134" s="3">
        <v>202.5</v>
      </c>
      <c r="J134" s="7">
        <f t="shared" si="1"/>
        <v>405</v>
      </c>
      <c r="K134" s="3"/>
      <c r="L134" s="3" t="str">
        <f t="shared" si="2"/>
        <v>27AAEFD6053A1ZW-0212/24-25-26042024</v>
      </c>
      <c r="M134" s="8">
        <f t="shared" si="7"/>
        <v>18</v>
      </c>
      <c r="N134" s="3" t="str">
        <f t="shared" si="4"/>
        <v/>
      </c>
      <c r="O134" s="9" t="str">
        <f t="shared" si="5"/>
        <v/>
      </c>
      <c r="P134" s="3" t="str">
        <f t="shared" si="6"/>
        <v/>
      </c>
      <c r="Q134" s="3"/>
    </row>
    <row r="135" ht="15.75" customHeight="1">
      <c r="A135" s="4" t="s">
        <v>257</v>
      </c>
      <c r="B135" s="5" t="s">
        <v>258</v>
      </c>
      <c r="C135" s="5" t="s">
        <v>259</v>
      </c>
      <c r="D135" s="6">
        <v>45409.0</v>
      </c>
      <c r="E135" s="3"/>
      <c r="F135" s="3">
        <v>516314.0</v>
      </c>
      <c r="G135" s="3">
        <v>0.0</v>
      </c>
      <c r="H135" s="3">
        <v>46468.26</v>
      </c>
      <c r="I135" s="3">
        <v>46468.26</v>
      </c>
      <c r="J135" s="7">
        <f t="shared" si="1"/>
        <v>92936.52</v>
      </c>
      <c r="K135" s="3"/>
      <c r="L135" s="3" t="str">
        <f t="shared" si="2"/>
        <v>27AACCC3441J1ZS-ST/2425/0000393-27042024</v>
      </c>
      <c r="M135" s="8">
        <f t="shared" si="7"/>
        <v>18</v>
      </c>
      <c r="N135" s="3" t="str">
        <f t="shared" si="4"/>
        <v/>
      </c>
      <c r="O135" s="9" t="str">
        <f t="shared" si="5"/>
        <v/>
      </c>
      <c r="P135" s="3" t="str">
        <f t="shared" si="6"/>
        <v/>
      </c>
      <c r="Q135" s="3"/>
    </row>
    <row r="136" ht="15.75" customHeight="1">
      <c r="A136" s="4" t="s">
        <v>38</v>
      </c>
      <c r="B136" s="5" t="s">
        <v>39</v>
      </c>
      <c r="C136" s="5" t="s">
        <v>260</v>
      </c>
      <c r="D136" s="6">
        <v>45409.0</v>
      </c>
      <c r="E136" s="3"/>
      <c r="F136" s="3">
        <v>3870.0</v>
      </c>
      <c r="G136" s="3">
        <v>0.0</v>
      </c>
      <c r="H136" s="3">
        <v>232.2</v>
      </c>
      <c r="I136" s="3">
        <v>232.2</v>
      </c>
      <c r="J136" s="7">
        <f t="shared" si="1"/>
        <v>464.4</v>
      </c>
      <c r="K136" s="3"/>
      <c r="L136" s="3" t="str">
        <f t="shared" si="2"/>
        <v>27AOVPP9192F2Z0-269-27042024</v>
      </c>
      <c r="M136" s="8">
        <f t="shared" si="7"/>
        <v>12</v>
      </c>
      <c r="N136" s="3" t="str">
        <f t="shared" si="4"/>
        <v/>
      </c>
      <c r="O136" s="9" t="str">
        <f t="shared" si="5"/>
        <v/>
      </c>
      <c r="P136" s="3" t="str">
        <f t="shared" si="6"/>
        <v/>
      </c>
      <c r="Q136" s="3"/>
    </row>
    <row r="137" ht="15.75" customHeight="1">
      <c r="A137" s="4" t="s">
        <v>97</v>
      </c>
      <c r="B137" s="5" t="s">
        <v>98</v>
      </c>
      <c r="C137" s="5" t="s">
        <v>261</v>
      </c>
      <c r="D137" s="6">
        <v>45409.0</v>
      </c>
      <c r="E137" s="3"/>
      <c r="F137" s="3">
        <v>210.0</v>
      </c>
      <c r="G137" s="3">
        <v>0.0</v>
      </c>
      <c r="H137" s="3">
        <v>18.9</v>
      </c>
      <c r="I137" s="3">
        <v>18.9</v>
      </c>
      <c r="J137" s="7">
        <f t="shared" si="1"/>
        <v>37.8</v>
      </c>
      <c r="K137" s="3"/>
      <c r="L137" s="3" t="str">
        <f t="shared" si="2"/>
        <v>27CBSPS4453E1Z6-2024-25/APR210-27042024</v>
      </c>
      <c r="M137" s="8">
        <f t="shared" si="7"/>
        <v>18</v>
      </c>
      <c r="N137" s="3" t="str">
        <f t="shared" si="4"/>
        <v/>
      </c>
      <c r="O137" s="9" t="str">
        <f t="shared" si="5"/>
        <v/>
      </c>
      <c r="P137" s="3" t="str">
        <f t="shared" si="6"/>
        <v/>
      </c>
      <c r="Q137" s="3"/>
    </row>
    <row r="138" ht="15.75" customHeight="1">
      <c r="A138" s="4" t="s">
        <v>44</v>
      </c>
      <c r="B138" s="5" t="s">
        <v>45</v>
      </c>
      <c r="C138" s="5" t="s">
        <v>262</v>
      </c>
      <c r="D138" s="6">
        <v>45409.0</v>
      </c>
      <c r="E138" s="3"/>
      <c r="F138" s="3">
        <v>2422.8</v>
      </c>
      <c r="G138" s="3">
        <v>0.0</v>
      </c>
      <c r="H138" s="3">
        <v>218.05</v>
      </c>
      <c r="I138" s="3">
        <v>218.05</v>
      </c>
      <c r="J138" s="7">
        <f t="shared" si="1"/>
        <v>436.1</v>
      </c>
      <c r="K138" s="3"/>
      <c r="L138" s="3" t="str">
        <f t="shared" si="2"/>
        <v>27BAEPA9590G1ZL-BWND/24-25/262-27042024</v>
      </c>
      <c r="M138" s="8">
        <f t="shared" si="7"/>
        <v>17.9998349</v>
      </c>
      <c r="N138" s="3" t="str">
        <f t="shared" si="4"/>
        <v/>
      </c>
      <c r="O138" s="9" t="str">
        <f t="shared" si="5"/>
        <v/>
      </c>
      <c r="P138" s="3" t="str">
        <f t="shared" si="6"/>
        <v/>
      </c>
      <c r="Q138" s="3"/>
    </row>
    <row r="139" ht="15.75" customHeight="1">
      <c r="A139" s="4" t="s">
        <v>263</v>
      </c>
      <c r="B139" s="5" t="s">
        <v>264</v>
      </c>
      <c r="C139" s="5" t="s">
        <v>265</v>
      </c>
      <c r="D139" s="6">
        <v>45409.0</v>
      </c>
      <c r="E139" s="3"/>
      <c r="F139" s="3">
        <v>999.0</v>
      </c>
      <c r="G139" s="3">
        <v>0.0</v>
      </c>
      <c r="H139" s="3">
        <v>89.91</v>
      </c>
      <c r="I139" s="3">
        <v>89.91</v>
      </c>
      <c r="J139" s="7">
        <f t="shared" si="1"/>
        <v>179.82</v>
      </c>
      <c r="K139" s="3"/>
      <c r="L139" s="3" t="str">
        <f t="shared" si="2"/>
        <v>27AAACB2894G1ZN-HT2527I01009588-27042024</v>
      </c>
      <c r="M139" s="8">
        <f t="shared" si="7"/>
        <v>18</v>
      </c>
      <c r="N139" s="3" t="str">
        <f t="shared" si="4"/>
        <v/>
      </c>
      <c r="O139" s="9" t="str">
        <f t="shared" si="5"/>
        <v/>
      </c>
      <c r="P139" s="3" t="str">
        <f t="shared" si="6"/>
        <v/>
      </c>
      <c r="Q139" s="3"/>
    </row>
    <row r="140" ht="15.75" customHeight="1">
      <c r="A140" s="4" t="s">
        <v>25</v>
      </c>
      <c r="B140" s="5" t="s">
        <v>26</v>
      </c>
      <c r="C140" s="5" t="s">
        <v>266</v>
      </c>
      <c r="D140" s="6">
        <v>45410.0</v>
      </c>
      <c r="E140" s="3"/>
      <c r="F140" s="3">
        <v>13371.0</v>
      </c>
      <c r="G140" s="3">
        <v>0.0</v>
      </c>
      <c r="H140" s="3">
        <v>802.26</v>
      </c>
      <c r="I140" s="3">
        <v>802.26</v>
      </c>
      <c r="J140" s="7">
        <f t="shared" si="1"/>
        <v>1604.52</v>
      </c>
      <c r="K140" s="3"/>
      <c r="L140" s="3" t="str">
        <f t="shared" si="2"/>
        <v>27ADJPV3549B2ZC-108/24-25-28042024</v>
      </c>
      <c r="M140" s="8">
        <f t="shared" si="7"/>
        <v>12</v>
      </c>
      <c r="N140" s="3" t="str">
        <f t="shared" si="4"/>
        <v/>
      </c>
      <c r="O140" s="9" t="str">
        <f t="shared" si="5"/>
        <v/>
      </c>
      <c r="P140" s="3" t="str">
        <f t="shared" si="6"/>
        <v/>
      </c>
      <c r="Q140" s="3"/>
    </row>
    <row r="141" ht="15.75" customHeight="1">
      <c r="A141" s="4" t="s">
        <v>47</v>
      </c>
      <c r="B141" s="5" t="s">
        <v>48</v>
      </c>
      <c r="C141" s="5" t="s">
        <v>267</v>
      </c>
      <c r="D141" s="6">
        <v>45411.0</v>
      </c>
      <c r="E141" s="3"/>
      <c r="F141" s="3">
        <v>17442.0</v>
      </c>
      <c r="G141" s="3">
        <v>0.0</v>
      </c>
      <c r="H141" s="3">
        <v>1569.78</v>
      </c>
      <c r="I141" s="3">
        <v>1569.78</v>
      </c>
      <c r="J141" s="7">
        <f t="shared" si="1"/>
        <v>3139.56</v>
      </c>
      <c r="K141" s="3"/>
      <c r="L141" s="3" t="str">
        <f t="shared" si="2"/>
        <v>27AAAFM2359N1ZZ-7775-29042024</v>
      </c>
      <c r="M141" s="8">
        <f t="shared" si="7"/>
        <v>18</v>
      </c>
      <c r="N141" s="3" t="str">
        <f t="shared" si="4"/>
        <v/>
      </c>
      <c r="O141" s="9" t="str">
        <f t="shared" si="5"/>
        <v/>
      </c>
      <c r="P141" s="3" t="str">
        <f t="shared" si="6"/>
        <v/>
      </c>
      <c r="Q141" s="3"/>
    </row>
    <row r="142" ht="15.75" customHeight="1">
      <c r="A142" s="4" t="s">
        <v>66</v>
      </c>
      <c r="B142" s="5" t="s">
        <v>67</v>
      </c>
      <c r="C142" s="5" t="s">
        <v>268</v>
      </c>
      <c r="D142" s="6">
        <v>45411.0</v>
      </c>
      <c r="E142" s="3"/>
      <c r="F142" s="3">
        <v>14627.86</v>
      </c>
      <c r="G142" s="3">
        <v>0.0</v>
      </c>
      <c r="H142" s="3">
        <v>1316.5</v>
      </c>
      <c r="I142" s="3">
        <v>1316.5</v>
      </c>
      <c r="J142" s="7">
        <f t="shared" si="1"/>
        <v>2633</v>
      </c>
      <c r="K142" s="3"/>
      <c r="L142" s="3" t="str">
        <f t="shared" si="2"/>
        <v>27AABFM0352J1ZH-37/24-25-29042024</v>
      </c>
      <c r="M142" s="8">
        <f t="shared" si="7"/>
        <v>17.99989882</v>
      </c>
      <c r="N142" s="3" t="str">
        <f t="shared" si="4"/>
        <v/>
      </c>
      <c r="O142" s="9" t="str">
        <f t="shared" si="5"/>
        <v/>
      </c>
      <c r="P142" s="3" t="str">
        <f t="shared" si="6"/>
        <v/>
      </c>
      <c r="Q142" s="3"/>
    </row>
    <row r="143" ht="15.75" customHeight="1">
      <c r="A143" s="4" t="s">
        <v>269</v>
      </c>
      <c r="B143" s="5" t="s">
        <v>270</v>
      </c>
      <c r="C143" s="5" t="s">
        <v>271</v>
      </c>
      <c r="D143" s="6">
        <v>45411.0</v>
      </c>
      <c r="E143" s="3"/>
      <c r="F143" s="3">
        <v>93100.0</v>
      </c>
      <c r="G143" s="3">
        <v>0.0</v>
      </c>
      <c r="H143" s="3">
        <v>8379.0</v>
      </c>
      <c r="I143" s="3">
        <v>8379.0</v>
      </c>
      <c r="J143" s="7">
        <f t="shared" si="1"/>
        <v>16758</v>
      </c>
      <c r="K143" s="3"/>
      <c r="L143" s="3" t="str">
        <f t="shared" si="2"/>
        <v>27AABFO0739M1Z2-720-29042024</v>
      </c>
      <c r="M143" s="8">
        <f t="shared" si="7"/>
        <v>18</v>
      </c>
      <c r="N143" s="3" t="str">
        <f t="shared" si="4"/>
        <v/>
      </c>
      <c r="O143" s="9" t="str">
        <f t="shared" si="5"/>
        <v/>
      </c>
      <c r="P143" s="3" t="str">
        <f t="shared" si="6"/>
        <v/>
      </c>
      <c r="Q143" s="3"/>
    </row>
    <row r="144" ht="15.75" customHeight="1">
      <c r="A144" s="4" t="s">
        <v>97</v>
      </c>
      <c r="B144" s="5" t="s">
        <v>98</v>
      </c>
      <c r="C144" s="5" t="s">
        <v>272</v>
      </c>
      <c r="D144" s="6">
        <v>45411.0</v>
      </c>
      <c r="E144" s="3"/>
      <c r="F144" s="3">
        <v>365.0</v>
      </c>
      <c r="G144" s="3">
        <v>0.0</v>
      </c>
      <c r="H144" s="3">
        <v>32.85</v>
      </c>
      <c r="I144" s="3">
        <v>32.85</v>
      </c>
      <c r="J144" s="7">
        <f t="shared" si="1"/>
        <v>65.7</v>
      </c>
      <c r="K144" s="3"/>
      <c r="L144" s="3" t="str">
        <f t="shared" si="2"/>
        <v>27CBSPS4453E1Z6-2024-25/APR245-29042024</v>
      </c>
      <c r="M144" s="8">
        <f t="shared" si="7"/>
        <v>18</v>
      </c>
      <c r="N144" s="3" t="str">
        <f t="shared" si="4"/>
        <v/>
      </c>
      <c r="O144" s="9" t="str">
        <f t="shared" si="5"/>
        <v/>
      </c>
      <c r="P144" s="3" t="str">
        <f t="shared" si="6"/>
        <v/>
      </c>
      <c r="Q144" s="3"/>
    </row>
    <row r="145" ht="15.75" customHeight="1">
      <c r="A145" s="4" t="s">
        <v>273</v>
      </c>
      <c r="B145" s="5" t="s">
        <v>274</v>
      </c>
      <c r="C145" s="5" t="s">
        <v>275</v>
      </c>
      <c r="D145" s="6">
        <v>45411.0</v>
      </c>
      <c r="E145" s="3"/>
      <c r="F145" s="3">
        <v>2304.0</v>
      </c>
      <c r="G145" s="3">
        <v>0.0</v>
      </c>
      <c r="H145" s="3">
        <v>207.36</v>
      </c>
      <c r="I145" s="3">
        <v>207.36</v>
      </c>
      <c r="J145" s="7">
        <f t="shared" si="1"/>
        <v>414.72</v>
      </c>
      <c r="K145" s="3"/>
      <c r="L145" s="3" t="str">
        <f t="shared" si="2"/>
        <v>27AAOPS6151N1ZW-37-29042024</v>
      </c>
      <c r="M145" s="8">
        <f t="shared" si="7"/>
        <v>18</v>
      </c>
      <c r="N145" s="3" t="str">
        <f t="shared" si="4"/>
        <v/>
      </c>
      <c r="O145" s="9" t="str">
        <f t="shared" si="5"/>
        <v/>
      </c>
      <c r="P145" s="3" t="str">
        <f t="shared" si="6"/>
        <v/>
      </c>
      <c r="Q145" s="3"/>
    </row>
    <row r="146" ht="15.75" customHeight="1">
      <c r="A146" s="4" t="s">
        <v>22</v>
      </c>
      <c r="B146" s="5" t="s">
        <v>23</v>
      </c>
      <c r="C146" s="5" t="s">
        <v>276</v>
      </c>
      <c r="D146" s="6">
        <v>45412.0</v>
      </c>
      <c r="E146" s="3"/>
      <c r="F146" s="3">
        <v>1150.0</v>
      </c>
      <c r="G146" s="3">
        <v>0.0</v>
      </c>
      <c r="H146" s="3">
        <v>103.5</v>
      </c>
      <c r="I146" s="3">
        <v>103.5</v>
      </c>
      <c r="J146" s="7">
        <f t="shared" si="1"/>
        <v>207</v>
      </c>
      <c r="K146" s="3"/>
      <c r="L146" s="3" t="str">
        <f t="shared" si="2"/>
        <v>27AABFS2833A1ZO-SLSLM-02481-30042024</v>
      </c>
      <c r="M146" s="8">
        <f t="shared" si="7"/>
        <v>18</v>
      </c>
      <c r="N146" s="3" t="str">
        <f t="shared" si="4"/>
        <v/>
      </c>
      <c r="O146" s="9" t="str">
        <f t="shared" si="5"/>
        <v/>
      </c>
      <c r="P146" s="3" t="str">
        <f t="shared" si="6"/>
        <v/>
      </c>
      <c r="Q146" s="3"/>
    </row>
    <row r="147" ht="15.75" customHeight="1">
      <c r="A147" s="4" t="s">
        <v>44</v>
      </c>
      <c r="B147" s="5" t="s">
        <v>45</v>
      </c>
      <c r="C147" s="5" t="s">
        <v>277</v>
      </c>
      <c r="D147" s="6">
        <v>45412.0</v>
      </c>
      <c r="E147" s="3"/>
      <c r="F147" s="3">
        <v>1868.4</v>
      </c>
      <c r="G147" s="3">
        <v>0.0</v>
      </c>
      <c r="H147" s="3">
        <v>168.16</v>
      </c>
      <c r="I147" s="3">
        <v>168.16</v>
      </c>
      <c r="J147" s="7">
        <f t="shared" si="1"/>
        <v>336.32</v>
      </c>
      <c r="K147" s="3"/>
      <c r="L147" s="3" t="str">
        <f t="shared" si="2"/>
        <v>27BAEPA9590G1ZL-BWND/24-25/279-30042024</v>
      </c>
      <c r="M147" s="8">
        <f t="shared" si="7"/>
        <v>18.00042817</v>
      </c>
      <c r="N147" s="3" t="str">
        <f t="shared" si="4"/>
        <v/>
      </c>
      <c r="O147" s="9" t="str">
        <f t="shared" si="5"/>
        <v/>
      </c>
      <c r="P147" s="3" t="str">
        <f t="shared" si="6"/>
        <v/>
      </c>
      <c r="Q147" s="3"/>
    </row>
    <row r="148" ht="15.75" customHeight="1">
      <c r="A148" s="4" t="s">
        <v>278</v>
      </c>
      <c r="B148" s="5" t="s">
        <v>279</v>
      </c>
      <c r="C148" s="5" t="s">
        <v>280</v>
      </c>
      <c r="D148" s="6">
        <v>45412.0</v>
      </c>
      <c r="E148" s="3"/>
      <c r="F148" s="3">
        <v>5800.0</v>
      </c>
      <c r="G148" s="3">
        <v>0.0</v>
      </c>
      <c r="H148" s="3">
        <v>522.0</v>
      </c>
      <c r="I148" s="3">
        <v>522.0</v>
      </c>
      <c r="J148" s="7">
        <f t="shared" si="1"/>
        <v>1044</v>
      </c>
      <c r="K148" s="3"/>
      <c r="L148" s="3" t="str">
        <f t="shared" si="2"/>
        <v>27AACCT8282C1Z9-368/2024-25-30042024</v>
      </c>
      <c r="M148" s="8">
        <f t="shared" si="7"/>
        <v>18</v>
      </c>
      <c r="N148" s="3" t="str">
        <f t="shared" si="4"/>
        <v/>
      </c>
      <c r="O148" s="9" t="str">
        <f t="shared" si="5"/>
        <v/>
      </c>
      <c r="P148" s="3" t="str">
        <f t="shared" si="6"/>
        <v/>
      </c>
      <c r="Q148" s="3"/>
    </row>
    <row r="149" ht="15.75" customHeight="1">
      <c r="A149" s="4" t="s">
        <v>56</v>
      </c>
      <c r="B149" s="5" t="s">
        <v>57</v>
      </c>
      <c r="C149" s="5" t="s">
        <v>281</v>
      </c>
      <c r="D149" s="6">
        <v>45412.0</v>
      </c>
      <c r="E149" s="3"/>
      <c r="F149" s="3">
        <v>48586.0</v>
      </c>
      <c r="G149" s="3">
        <v>0.0</v>
      </c>
      <c r="H149" s="3">
        <v>4373.0</v>
      </c>
      <c r="I149" s="3">
        <v>4373.0</v>
      </c>
      <c r="J149" s="7">
        <f t="shared" si="1"/>
        <v>8746</v>
      </c>
      <c r="K149" s="3"/>
      <c r="L149" s="3" t="str">
        <f t="shared" si="2"/>
        <v>27AAACB2900K1ZZ-4320291811-30042024</v>
      </c>
      <c r="M149" s="8">
        <f t="shared" si="7"/>
        <v>18.00107027</v>
      </c>
      <c r="N149" s="3" t="str">
        <f t="shared" si="4"/>
        <v/>
      </c>
      <c r="O149" s="9" t="str">
        <f t="shared" si="5"/>
        <v/>
      </c>
      <c r="P149" s="3" t="str">
        <f t="shared" si="6"/>
        <v/>
      </c>
      <c r="Q149" s="3"/>
    </row>
    <row r="150" ht="15.75" customHeight="1">
      <c r="A150" s="4" t="s">
        <v>56</v>
      </c>
      <c r="B150" s="5" t="s">
        <v>57</v>
      </c>
      <c r="C150" s="5" t="s">
        <v>282</v>
      </c>
      <c r="D150" s="6">
        <v>45412.0</v>
      </c>
      <c r="E150" s="3"/>
      <c r="F150" s="3">
        <v>192304.0</v>
      </c>
      <c r="G150" s="3">
        <v>0.0</v>
      </c>
      <c r="H150" s="3">
        <v>17308.0</v>
      </c>
      <c r="I150" s="3">
        <v>17308.0</v>
      </c>
      <c r="J150" s="7">
        <f t="shared" si="1"/>
        <v>34616</v>
      </c>
      <c r="K150" s="3"/>
      <c r="L150" s="3" t="str">
        <f t="shared" si="2"/>
        <v>27AAACB2900K1ZZ-4320291812-30042024</v>
      </c>
      <c r="M150" s="8">
        <f t="shared" si="7"/>
        <v>18.00066561</v>
      </c>
      <c r="N150" s="3" t="str">
        <f t="shared" si="4"/>
        <v/>
      </c>
      <c r="O150" s="9" t="str">
        <f t="shared" si="5"/>
        <v/>
      </c>
      <c r="P150" s="3" t="str">
        <f t="shared" si="6"/>
        <v/>
      </c>
      <c r="Q150" s="3"/>
    </row>
    <row r="151" ht="15.75" customHeight="1">
      <c r="A151" s="4" t="s">
        <v>56</v>
      </c>
      <c r="B151" s="5" t="s">
        <v>57</v>
      </c>
      <c r="C151" s="5" t="s">
        <v>283</v>
      </c>
      <c r="D151" s="6">
        <v>45412.0</v>
      </c>
      <c r="E151" s="3"/>
      <c r="F151" s="3">
        <v>91564.0</v>
      </c>
      <c r="G151" s="3">
        <v>0.0</v>
      </c>
      <c r="H151" s="3">
        <v>8241.0</v>
      </c>
      <c r="I151" s="3">
        <v>8241.0</v>
      </c>
      <c r="J151" s="7">
        <f t="shared" si="1"/>
        <v>16482</v>
      </c>
      <c r="K151" s="3"/>
      <c r="L151" s="3" t="str">
        <f t="shared" si="2"/>
        <v>27AAACB2900K1ZZ-4320291813-30042024</v>
      </c>
      <c r="M151" s="8">
        <f t="shared" si="7"/>
        <v>18.00052422</v>
      </c>
      <c r="N151" s="3" t="str">
        <f t="shared" si="4"/>
        <v/>
      </c>
      <c r="O151" s="9" t="str">
        <f t="shared" si="5"/>
        <v/>
      </c>
      <c r="P151" s="3" t="str">
        <f t="shared" si="6"/>
        <v/>
      </c>
      <c r="Q151" s="3"/>
    </row>
    <row r="152" ht="15.75" customHeight="1">
      <c r="A152" s="4" t="s">
        <v>56</v>
      </c>
      <c r="B152" s="5" t="s">
        <v>57</v>
      </c>
      <c r="C152" s="5" t="s">
        <v>284</v>
      </c>
      <c r="D152" s="6">
        <v>45412.0</v>
      </c>
      <c r="E152" s="3"/>
      <c r="F152" s="3">
        <v>68288.0</v>
      </c>
      <c r="G152" s="3">
        <v>0.0</v>
      </c>
      <c r="H152" s="3">
        <v>6146.0</v>
      </c>
      <c r="I152" s="3">
        <v>6146.0</v>
      </c>
      <c r="J152" s="7">
        <f t="shared" si="1"/>
        <v>12292</v>
      </c>
      <c r="K152" s="3"/>
      <c r="L152" s="3" t="str">
        <f t="shared" si="2"/>
        <v>27AAACB2900K1ZZ-4320291814-30042024</v>
      </c>
      <c r="M152" s="8">
        <f t="shared" si="7"/>
        <v>18.0002343</v>
      </c>
      <c r="N152" s="3" t="str">
        <f t="shared" si="4"/>
        <v/>
      </c>
      <c r="O152" s="9" t="str">
        <f t="shared" si="5"/>
        <v/>
      </c>
      <c r="P152" s="3" t="str">
        <f t="shared" si="6"/>
        <v/>
      </c>
      <c r="Q152" s="3"/>
    </row>
    <row r="153" ht="15.75" customHeight="1">
      <c r="A153" s="4" t="s">
        <v>56</v>
      </c>
      <c r="B153" s="5" t="s">
        <v>57</v>
      </c>
      <c r="C153" s="5" t="s">
        <v>285</v>
      </c>
      <c r="D153" s="6">
        <v>45412.0</v>
      </c>
      <c r="E153" s="3"/>
      <c r="F153" s="3">
        <v>68288.0</v>
      </c>
      <c r="G153" s="3">
        <v>0.0</v>
      </c>
      <c r="H153" s="3">
        <v>6146.0</v>
      </c>
      <c r="I153" s="3">
        <v>6146.0</v>
      </c>
      <c r="J153" s="7">
        <f t="shared" si="1"/>
        <v>12292</v>
      </c>
      <c r="K153" s="3"/>
      <c r="L153" s="3" t="str">
        <f t="shared" si="2"/>
        <v>27AAACB2900K1ZZ-4320291816-30042024</v>
      </c>
      <c r="M153" s="8">
        <f t="shared" si="7"/>
        <v>18.0002343</v>
      </c>
      <c r="N153" s="3" t="str">
        <f t="shared" si="4"/>
        <v/>
      </c>
      <c r="O153" s="9" t="str">
        <f t="shared" si="5"/>
        <v/>
      </c>
      <c r="P153" s="3" t="str">
        <f t="shared" si="6"/>
        <v/>
      </c>
      <c r="Q153" s="3"/>
    </row>
    <row r="154" ht="15.75" customHeight="1">
      <c r="A154" s="4" t="s">
        <v>66</v>
      </c>
      <c r="B154" s="5" t="s">
        <v>67</v>
      </c>
      <c r="C154" s="5" t="s">
        <v>286</v>
      </c>
      <c r="D154" s="6">
        <v>45412.0</v>
      </c>
      <c r="E154" s="3"/>
      <c r="F154" s="3">
        <v>13600.0</v>
      </c>
      <c r="G154" s="3">
        <v>0.0</v>
      </c>
      <c r="H154" s="3">
        <v>1224.0</v>
      </c>
      <c r="I154" s="3">
        <v>1224.0</v>
      </c>
      <c r="J154" s="7">
        <f t="shared" si="1"/>
        <v>2448</v>
      </c>
      <c r="K154" s="3"/>
      <c r="L154" s="3" t="str">
        <f t="shared" si="2"/>
        <v>27AABFM0352J1ZH-40/24-25-30042024</v>
      </c>
      <c r="M154" s="8">
        <f t="shared" si="7"/>
        <v>18</v>
      </c>
      <c r="N154" s="3" t="str">
        <f t="shared" si="4"/>
        <v/>
      </c>
      <c r="O154" s="9" t="str">
        <f t="shared" si="5"/>
        <v/>
      </c>
      <c r="P154" s="3" t="str">
        <f t="shared" si="6"/>
        <v/>
      </c>
      <c r="Q154" s="3"/>
    </row>
    <row r="155" ht="15.75" customHeight="1">
      <c r="A155" s="4" t="s">
        <v>287</v>
      </c>
      <c r="B155" s="5" t="s">
        <v>288</v>
      </c>
      <c r="C155" s="5" t="s">
        <v>289</v>
      </c>
      <c r="D155" s="6">
        <v>45412.0</v>
      </c>
      <c r="E155" s="3"/>
      <c r="F155" s="3">
        <v>11340.0</v>
      </c>
      <c r="G155" s="3">
        <v>0.0</v>
      </c>
      <c r="H155" s="3">
        <v>1020.6</v>
      </c>
      <c r="I155" s="3">
        <v>1020.6</v>
      </c>
      <c r="J155" s="7">
        <f t="shared" si="1"/>
        <v>2041.2</v>
      </c>
      <c r="K155" s="3"/>
      <c r="L155" s="3" t="str">
        <f t="shared" si="2"/>
        <v>27AATFG0563F1Z9-G-0030/24-30042024</v>
      </c>
      <c r="M155" s="8">
        <f t="shared" si="7"/>
        <v>18</v>
      </c>
      <c r="N155" s="3" t="str">
        <f t="shared" si="4"/>
        <v/>
      </c>
      <c r="O155" s="9" t="str">
        <f t="shared" si="5"/>
        <v/>
      </c>
      <c r="P155" s="3" t="str">
        <f t="shared" si="6"/>
        <v/>
      </c>
      <c r="Q155" s="3"/>
    </row>
    <row r="156" ht="15.75" customHeight="1">
      <c r="A156" s="4" t="s">
        <v>290</v>
      </c>
      <c r="B156" s="5"/>
      <c r="C156" s="5" t="s">
        <v>291</v>
      </c>
      <c r="D156" s="6">
        <v>45412.0</v>
      </c>
      <c r="E156" s="3"/>
      <c r="F156" s="3">
        <v>568.0</v>
      </c>
      <c r="G156" s="3">
        <v>0.0</v>
      </c>
      <c r="H156" s="3">
        <v>51.12</v>
      </c>
      <c r="I156" s="3">
        <v>51.12</v>
      </c>
      <c r="J156" s="7">
        <f t="shared" si="1"/>
        <v>102.24</v>
      </c>
      <c r="K156" s="3"/>
      <c r="L156" s="3" t="str">
        <f t="shared" si="2"/>
        <v/>
      </c>
      <c r="M156" s="8">
        <f t="shared" si="7"/>
        <v>18</v>
      </c>
      <c r="N156" s="3" t="str">
        <f t="shared" si="4"/>
        <v>GSTIN not entered</v>
      </c>
      <c r="O156" s="9" t="str">
        <f t="shared" si="5"/>
        <v/>
      </c>
      <c r="P156" s="3" t="str">
        <f t="shared" si="6"/>
        <v/>
      </c>
      <c r="Q156" s="3"/>
    </row>
    <row r="157" ht="15.75" customHeight="1">
      <c r="A157" s="4" t="s">
        <v>290</v>
      </c>
      <c r="B157" s="5"/>
      <c r="C157" s="5" t="s">
        <v>292</v>
      </c>
      <c r="D157" s="6">
        <v>45412.0</v>
      </c>
      <c r="E157" s="3"/>
      <c r="F157" s="3">
        <v>950.0</v>
      </c>
      <c r="G157" s="3">
        <v>0.0</v>
      </c>
      <c r="H157" s="3">
        <v>85.5</v>
      </c>
      <c r="I157" s="3">
        <v>85.5</v>
      </c>
      <c r="J157" s="7">
        <f t="shared" si="1"/>
        <v>171</v>
      </c>
      <c r="K157" s="3"/>
      <c r="L157" s="3" t="str">
        <f t="shared" si="2"/>
        <v/>
      </c>
      <c r="M157" s="8">
        <f t="shared" si="7"/>
        <v>18</v>
      </c>
      <c r="N157" s="3" t="str">
        <f t="shared" si="4"/>
        <v>GSTIN not entered</v>
      </c>
      <c r="O157" s="9" t="str">
        <f t="shared" si="5"/>
        <v/>
      </c>
      <c r="P157" s="3" t="str">
        <f t="shared" si="6"/>
        <v/>
      </c>
      <c r="Q157" s="3"/>
    </row>
    <row r="158" ht="15.75" customHeight="1">
      <c r="A158" s="4" t="s">
        <v>290</v>
      </c>
      <c r="B158" s="5"/>
      <c r="C158" s="5" t="s">
        <v>293</v>
      </c>
      <c r="D158" s="6">
        <v>45412.0</v>
      </c>
      <c r="E158" s="3"/>
      <c r="F158" s="3">
        <v>5851.5</v>
      </c>
      <c r="G158" s="3">
        <v>0.0</v>
      </c>
      <c r="H158" s="3">
        <v>526.64</v>
      </c>
      <c r="I158" s="3">
        <v>526.64</v>
      </c>
      <c r="J158" s="7">
        <f t="shared" si="1"/>
        <v>1053.28</v>
      </c>
      <c r="K158" s="3"/>
      <c r="L158" s="3" t="str">
        <f t="shared" si="2"/>
        <v/>
      </c>
      <c r="M158" s="8">
        <f t="shared" si="7"/>
        <v>18.0001709</v>
      </c>
      <c r="N158" s="3" t="str">
        <f t="shared" si="4"/>
        <v>GSTIN not entered</v>
      </c>
      <c r="O158" s="9" t="str">
        <f t="shared" si="5"/>
        <v/>
      </c>
      <c r="P158" s="3" t="str">
        <f t="shared" si="6"/>
        <v/>
      </c>
      <c r="Q158" s="3"/>
    </row>
    <row r="159" ht="15.75" customHeight="1">
      <c r="A159" s="4" t="s">
        <v>290</v>
      </c>
      <c r="B159" s="5"/>
      <c r="C159" s="5" t="s">
        <v>294</v>
      </c>
      <c r="D159" s="6">
        <v>45412.0</v>
      </c>
      <c r="E159" s="3"/>
      <c r="F159" s="3">
        <v>2400.0</v>
      </c>
      <c r="G159" s="3">
        <v>0.0</v>
      </c>
      <c r="H159" s="3">
        <v>144.0</v>
      </c>
      <c r="I159" s="3">
        <v>144.0</v>
      </c>
      <c r="J159" s="7">
        <f t="shared" si="1"/>
        <v>288</v>
      </c>
      <c r="K159" s="3"/>
      <c r="L159" s="3" t="str">
        <f t="shared" si="2"/>
        <v/>
      </c>
      <c r="M159" s="8">
        <f t="shared" si="7"/>
        <v>12</v>
      </c>
      <c r="N159" s="3" t="str">
        <f t="shared" si="4"/>
        <v>GSTIN not entered</v>
      </c>
      <c r="O159" s="9" t="str">
        <f t="shared" si="5"/>
        <v/>
      </c>
      <c r="P159" s="3" t="str">
        <f t="shared" si="6"/>
        <v/>
      </c>
      <c r="Q159" s="3"/>
    </row>
    <row r="160" ht="15.75" customHeight="1">
      <c r="A160" s="4" t="s">
        <v>295</v>
      </c>
      <c r="B160" s="5" t="s">
        <v>296</v>
      </c>
      <c r="C160" s="5" t="s">
        <v>297</v>
      </c>
      <c r="D160" s="6">
        <v>45412.0</v>
      </c>
      <c r="E160" s="3"/>
      <c r="F160" s="3">
        <v>510.0</v>
      </c>
      <c r="G160" s="3">
        <v>0.0</v>
      </c>
      <c r="H160" s="3">
        <v>45.9</v>
      </c>
      <c r="I160" s="3">
        <v>45.9</v>
      </c>
      <c r="J160" s="7">
        <f t="shared" si="1"/>
        <v>91.8</v>
      </c>
      <c r="K160" s="3"/>
      <c r="L160" s="3" t="str">
        <f t="shared" si="2"/>
        <v>27AAVPM4700E1ZN-PCT/32-30042024</v>
      </c>
      <c r="M160" s="8">
        <f t="shared" si="7"/>
        <v>18</v>
      </c>
      <c r="N160" s="3" t="str">
        <f t="shared" si="4"/>
        <v/>
      </c>
      <c r="O160" s="9" t="str">
        <f t="shared" si="5"/>
        <v/>
      </c>
      <c r="P160" s="3" t="str">
        <f t="shared" si="6"/>
        <v/>
      </c>
      <c r="Q160" s="3"/>
    </row>
    <row r="161" ht="15.75" customHeight="1">
      <c r="A161" s="4" t="s">
        <v>298</v>
      </c>
      <c r="B161" s="5" t="s">
        <v>299</v>
      </c>
      <c r="C161" s="5" t="s">
        <v>300</v>
      </c>
      <c r="D161" s="6">
        <v>45412.0</v>
      </c>
      <c r="E161" s="3"/>
      <c r="F161" s="3">
        <v>342.0</v>
      </c>
      <c r="G161" s="3">
        <v>0.0</v>
      </c>
      <c r="H161" s="3">
        <v>30.78</v>
      </c>
      <c r="I161" s="3">
        <v>30.78</v>
      </c>
      <c r="J161" s="7">
        <f t="shared" si="1"/>
        <v>61.56</v>
      </c>
      <c r="K161" s="3"/>
      <c r="L161" s="3" t="str">
        <f t="shared" si="2"/>
        <v>27AFGPS1163R1ZS-WAG/00058/2024-30042024</v>
      </c>
      <c r="M161" s="8">
        <f t="shared" si="7"/>
        <v>18</v>
      </c>
      <c r="N161" s="3" t="str">
        <f t="shared" si="4"/>
        <v/>
      </c>
      <c r="O161" s="9" t="str">
        <f t="shared" si="5"/>
        <v/>
      </c>
      <c r="P161" s="3" t="str">
        <f t="shared" si="6"/>
        <v/>
      </c>
      <c r="Q161" s="3"/>
    </row>
    <row r="162" ht="15.75" customHeight="1">
      <c r="A162" s="4" t="s">
        <v>301</v>
      </c>
      <c r="B162" s="5" t="s">
        <v>302</v>
      </c>
      <c r="C162" s="5" t="s">
        <v>303</v>
      </c>
      <c r="D162" s="6">
        <v>45413.0</v>
      </c>
      <c r="E162" s="3"/>
      <c r="F162" s="3">
        <v>3289.0</v>
      </c>
      <c r="G162" s="3">
        <v>0.0</v>
      </c>
      <c r="H162" s="3">
        <v>296.01</v>
      </c>
      <c r="I162" s="3">
        <v>296.01</v>
      </c>
      <c r="J162" s="7">
        <f t="shared" si="1"/>
        <v>592.02</v>
      </c>
      <c r="K162" s="3"/>
      <c r="L162" s="3" t="str">
        <f t="shared" si="2"/>
        <v>27AAACB2100P1ZX-MHSO090524449440-01052024</v>
      </c>
      <c r="M162" s="8">
        <f t="shared" si="7"/>
        <v>18</v>
      </c>
      <c r="N162" s="3" t="str">
        <f t="shared" si="4"/>
        <v/>
      </c>
      <c r="O162" s="9" t="str">
        <f t="shared" si="5"/>
        <v/>
      </c>
      <c r="P162" s="3" t="str">
        <f t="shared" si="6"/>
        <v/>
      </c>
      <c r="Q162" s="3"/>
    </row>
    <row r="163" ht="15.75" customHeight="1">
      <c r="A163" s="4" t="s">
        <v>304</v>
      </c>
      <c r="B163" s="5" t="s">
        <v>305</v>
      </c>
      <c r="C163" s="5" t="s">
        <v>306</v>
      </c>
      <c r="D163" s="6">
        <v>45413.0</v>
      </c>
      <c r="E163" s="3"/>
      <c r="F163" s="3">
        <v>50666.0</v>
      </c>
      <c r="G163" s="3">
        <v>0.0</v>
      </c>
      <c r="H163" s="3">
        <v>4559.0</v>
      </c>
      <c r="I163" s="3">
        <v>4559.0</v>
      </c>
      <c r="J163" s="7">
        <f t="shared" si="1"/>
        <v>9118</v>
      </c>
      <c r="K163" s="3"/>
      <c r="L163" s="3" t="str">
        <f t="shared" si="2"/>
        <v>27EXUPS0582N1ZC-471-01052024</v>
      </c>
      <c r="M163" s="8">
        <f t="shared" si="7"/>
        <v>17.99628942</v>
      </c>
      <c r="N163" s="3" t="str">
        <f t="shared" si="4"/>
        <v/>
      </c>
      <c r="O163" s="9" t="str">
        <f t="shared" si="5"/>
        <v/>
      </c>
      <c r="P163" s="3" t="str">
        <f t="shared" si="6"/>
        <v/>
      </c>
      <c r="Q163" s="3"/>
    </row>
    <row r="164" ht="15.75" customHeight="1">
      <c r="A164" s="4" t="s">
        <v>69</v>
      </c>
      <c r="B164" s="5" t="s">
        <v>70</v>
      </c>
      <c r="C164" s="5" t="s">
        <v>307</v>
      </c>
      <c r="D164" s="6">
        <v>45414.0</v>
      </c>
      <c r="E164" s="3"/>
      <c r="F164" s="3">
        <v>31351.5</v>
      </c>
      <c r="G164" s="3">
        <v>0.0</v>
      </c>
      <c r="H164" s="3">
        <v>2821.63</v>
      </c>
      <c r="I164" s="3">
        <v>2821.63</v>
      </c>
      <c r="J164" s="7">
        <f t="shared" si="1"/>
        <v>5643.26</v>
      </c>
      <c r="K164" s="3"/>
      <c r="L164" s="3" t="str">
        <f t="shared" si="2"/>
        <v>27AAEFR8996A1ZU-511/24-25-02052024</v>
      </c>
      <c r="M164" s="8">
        <f t="shared" si="7"/>
        <v>17.9999681</v>
      </c>
      <c r="N164" s="3" t="str">
        <f t="shared" si="4"/>
        <v/>
      </c>
      <c r="O164" s="9" t="str">
        <f t="shared" si="5"/>
        <v/>
      </c>
      <c r="P164" s="3" t="str">
        <f t="shared" si="6"/>
        <v/>
      </c>
      <c r="Q164" s="3"/>
    </row>
    <row r="165" ht="15.75" customHeight="1">
      <c r="A165" s="4" t="s">
        <v>69</v>
      </c>
      <c r="B165" s="5" t="s">
        <v>70</v>
      </c>
      <c r="C165" s="5" t="s">
        <v>308</v>
      </c>
      <c r="D165" s="6">
        <v>45414.0</v>
      </c>
      <c r="E165" s="3"/>
      <c r="F165" s="3">
        <v>23752.8</v>
      </c>
      <c r="G165" s="3">
        <v>0.0</v>
      </c>
      <c r="H165" s="3">
        <v>2137.75</v>
      </c>
      <c r="I165" s="3">
        <v>2137.75</v>
      </c>
      <c r="J165" s="7">
        <f t="shared" si="1"/>
        <v>4275.5</v>
      </c>
      <c r="K165" s="3"/>
      <c r="L165" s="3" t="str">
        <f t="shared" si="2"/>
        <v>27AAEFR8996A1ZU-519/24-25-02052024</v>
      </c>
      <c r="M165" s="8">
        <f t="shared" si="7"/>
        <v>17.99998316</v>
      </c>
      <c r="N165" s="3" t="str">
        <f t="shared" si="4"/>
        <v/>
      </c>
      <c r="O165" s="9" t="str">
        <f t="shared" si="5"/>
        <v/>
      </c>
      <c r="P165" s="3" t="str">
        <f t="shared" si="6"/>
        <v/>
      </c>
      <c r="Q165" s="3"/>
    </row>
    <row r="166" ht="15.75" customHeight="1">
      <c r="A166" s="11" t="s">
        <v>309</v>
      </c>
      <c r="B166" s="5"/>
      <c r="C166" s="5" t="s">
        <v>310</v>
      </c>
      <c r="D166" s="6">
        <v>45414.0</v>
      </c>
      <c r="E166" s="3"/>
      <c r="F166" s="3">
        <v>0.0</v>
      </c>
      <c r="G166" s="3">
        <v>0.0</v>
      </c>
      <c r="H166" s="3">
        <v>0.0</v>
      </c>
      <c r="I166" s="3">
        <v>0.0</v>
      </c>
      <c r="J166" s="7">
        <f t="shared" si="1"/>
        <v>0</v>
      </c>
      <c r="K166" s="3"/>
      <c r="L166" s="3" t="str">
        <f t="shared" si="2"/>
        <v/>
      </c>
      <c r="M166" s="8" t="str">
        <f t="shared" si="7"/>
        <v/>
      </c>
      <c r="N166" s="3" t="str">
        <f t="shared" si="4"/>
        <v>GSTIN not entered</v>
      </c>
      <c r="O166" s="9" t="str">
        <f t="shared" si="5"/>
        <v/>
      </c>
      <c r="P166" s="3" t="str">
        <f t="shared" si="6"/>
        <v/>
      </c>
      <c r="Q166" s="3"/>
    </row>
    <row r="167" ht="15.75" customHeight="1">
      <c r="A167" s="4" t="s">
        <v>38</v>
      </c>
      <c r="B167" s="5" t="s">
        <v>39</v>
      </c>
      <c r="C167" s="5" t="s">
        <v>311</v>
      </c>
      <c r="D167" s="6">
        <v>45414.0</v>
      </c>
      <c r="E167" s="3"/>
      <c r="F167" s="3">
        <v>4973.0</v>
      </c>
      <c r="G167" s="3">
        <v>0.0</v>
      </c>
      <c r="H167" s="3">
        <v>298.38</v>
      </c>
      <c r="I167" s="3">
        <v>298.38</v>
      </c>
      <c r="J167" s="7">
        <f t="shared" si="1"/>
        <v>596.76</v>
      </c>
      <c r="K167" s="3"/>
      <c r="L167" s="3" t="str">
        <f t="shared" si="2"/>
        <v>27AOVPP9192F2Z0-274-02052024</v>
      </c>
      <c r="M167" s="8">
        <f t="shared" si="7"/>
        <v>12</v>
      </c>
      <c r="N167" s="3" t="str">
        <f t="shared" si="4"/>
        <v/>
      </c>
      <c r="O167" s="9" t="str">
        <f t="shared" si="5"/>
        <v/>
      </c>
      <c r="P167" s="3" t="str">
        <f t="shared" si="6"/>
        <v/>
      </c>
      <c r="Q167" s="3"/>
    </row>
    <row r="168" ht="15.75" customHeight="1">
      <c r="A168" s="11" t="s">
        <v>309</v>
      </c>
      <c r="B168" s="5"/>
      <c r="C168" s="5" t="s">
        <v>312</v>
      </c>
      <c r="D168" s="6">
        <v>45414.0</v>
      </c>
      <c r="E168" s="3"/>
      <c r="F168" s="3">
        <v>0.0</v>
      </c>
      <c r="G168" s="3">
        <v>0.0</v>
      </c>
      <c r="H168" s="3">
        <v>0.0</v>
      </c>
      <c r="I168" s="3">
        <v>0.0</v>
      </c>
      <c r="J168" s="7">
        <f t="shared" si="1"/>
        <v>0</v>
      </c>
      <c r="K168" s="3"/>
      <c r="L168" s="3" t="str">
        <f t="shared" si="2"/>
        <v/>
      </c>
      <c r="M168" s="8" t="str">
        <f t="shared" si="7"/>
        <v/>
      </c>
      <c r="N168" s="3" t="str">
        <f t="shared" si="4"/>
        <v>GSTIN not entered</v>
      </c>
      <c r="O168" s="9" t="str">
        <f t="shared" si="5"/>
        <v/>
      </c>
      <c r="P168" s="3" t="str">
        <f t="shared" si="6"/>
        <v/>
      </c>
      <c r="Q168" s="3"/>
    </row>
    <row r="169" ht="15.75" customHeight="1">
      <c r="A169" s="4" t="s">
        <v>313</v>
      </c>
      <c r="B169" s="5" t="s">
        <v>314</v>
      </c>
      <c r="C169" s="5" t="s">
        <v>315</v>
      </c>
      <c r="D169" s="6">
        <v>45414.0</v>
      </c>
      <c r="E169" s="3"/>
      <c r="F169" s="3">
        <v>760.0</v>
      </c>
      <c r="G169" s="3">
        <v>0.0</v>
      </c>
      <c r="H169" s="3">
        <v>68.4</v>
      </c>
      <c r="I169" s="3">
        <v>68.4</v>
      </c>
      <c r="J169" s="7">
        <f t="shared" si="1"/>
        <v>136.8</v>
      </c>
      <c r="K169" s="3"/>
      <c r="L169" s="3" t="str">
        <f t="shared" si="2"/>
        <v>27APJPP3633C1ZZ-PTS/24-25/0440-02052024</v>
      </c>
      <c r="M169" s="8">
        <f t="shared" si="7"/>
        <v>18</v>
      </c>
      <c r="N169" s="3" t="str">
        <f t="shared" si="4"/>
        <v/>
      </c>
      <c r="O169" s="9" t="str">
        <f t="shared" si="5"/>
        <v/>
      </c>
      <c r="P169" s="3" t="str">
        <f t="shared" si="6"/>
        <v/>
      </c>
      <c r="Q169" s="3"/>
    </row>
    <row r="170" ht="15.75" customHeight="1">
      <c r="A170" s="4" t="s">
        <v>316</v>
      </c>
      <c r="B170" s="5"/>
      <c r="C170" s="5" t="s">
        <v>312</v>
      </c>
      <c r="D170" s="6">
        <v>45414.0</v>
      </c>
      <c r="E170" s="3"/>
      <c r="F170" s="3">
        <v>1550.0</v>
      </c>
      <c r="G170" s="3">
        <v>0.0</v>
      </c>
      <c r="H170" s="3">
        <v>139.5</v>
      </c>
      <c r="I170" s="3">
        <v>139.5</v>
      </c>
      <c r="J170" s="7">
        <f t="shared" si="1"/>
        <v>279</v>
      </c>
      <c r="K170" s="3"/>
      <c r="L170" s="3" t="str">
        <f t="shared" si="2"/>
        <v/>
      </c>
      <c r="M170" s="8">
        <f t="shared" si="7"/>
        <v>18</v>
      </c>
      <c r="N170" s="3" t="str">
        <f t="shared" si="4"/>
        <v>GSTIN not entered</v>
      </c>
      <c r="O170" s="9" t="str">
        <f t="shared" si="5"/>
        <v/>
      </c>
      <c r="P170" s="3" t="str">
        <f t="shared" si="6"/>
        <v/>
      </c>
      <c r="Q170" s="3"/>
    </row>
    <row r="171" ht="15.75" customHeight="1">
      <c r="A171" s="4" t="s">
        <v>47</v>
      </c>
      <c r="B171" s="5" t="s">
        <v>48</v>
      </c>
      <c r="C171" s="5" t="s">
        <v>317</v>
      </c>
      <c r="D171" s="6">
        <v>45415.0</v>
      </c>
      <c r="E171" s="3"/>
      <c r="F171" s="3">
        <v>32062.5</v>
      </c>
      <c r="G171" s="3">
        <v>0.0</v>
      </c>
      <c r="H171" s="3">
        <v>2885.63</v>
      </c>
      <c r="I171" s="3">
        <v>2885.63</v>
      </c>
      <c r="J171" s="7">
        <f t="shared" si="1"/>
        <v>5771.26</v>
      </c>
      <c r="K171" s="3"/>
      <c r="L171" s="3" t="str">
        <f t="shared" si="2"/>
        <v>27AAAFM2359N1ZZ-7787-03052024</v>
      </c>
      <c r="M171" s="8">
        <f t="shared" si="7"/>
        <v>18.00003119</v>
      </c>
      <c r="N171" s="3" t="str">
        <f t="shared" si="4"/>
        <v/>
      </c>
      <c r="O171" s="9" t="str">
        <f t="shared" si="5"/>
        <v/>
      </c>
      <c r="P171" s="3" t="str">
        <f t="shared" si="6"/>
        <v/>
      </c>
      <c r="Q171" s="3"/>
    </row>
    <row r="172" ht="15.75" customHeight="1">
      <c r="A172" s="4" t="s">
        <v>22</v>
      </c>
      <c r="B172" s="5" t="s">
        <v>23</v>
      </c>
      <c r="C172" s="5" t="s">
        <v>318</v>
      </c>
      <c r="D172" s="6">
        <v>45415.0</v>
      </c>
      <c r="E172" s="3"/>
      <c r="F172" s="3">
        <v>3325.84</v>
      </c>
      <c r="G172" s="3">
        <v>0.0</v>
      </c>
      <c r="H172" s="3">
        <v>299.33</v>
      </c>
      <c r="I172" s="3">
        <v>299.33</v>
      </c>
      <c r="J172" s="7">
        <f t="shared" si="1"/>
        <v>598.66</v>
      </c>
      <c r="K172" s="3"/>
      <c r="L172" s="3" t="str">
        <f t="shared" si="2"/>
        <v>27AABFS2833A1ZO-SLSLM-02671-03052024</v>
      </c>
      <c r="M172" s="8">
        <f t="shared" si="7"/>
        <v>18.00026459</v>
      </c>
      <c r="N172" s="3" t="str">
        <f t="shared" si="4"/>
        <v/>
      </c>
      <c r="O172" s="9" t="str">
        <f t="shared" si="5"/>
        <v/>
      </c>
      <c r="P172" s="3" t="str">
        <f t="shared" si="6"/>
        <v/>
      </c>
      <c r="Q172" s="3"/>
    </row>
    <row r="173" ht="15.75" customHeight="1">
      <c r="A173" s="4" t="s">
        <v>56</v>
      </c>
      <c r="B173" s="5" t="s">
        <v>57</v>
      </c>
      <c r="C173" s="5" t="s">
        <v>319</v>
      </c>
      <c r="D173" s="6">
        <v>45415.0</v>
      </c>
      <c r="E173" s="3"/>
      <c r="F173" s="3">
        <v>159186.0</v>
      </c>
      <c r="G173" s="3">
        <v>0.0</v>
      </c>
      <c r="H173" s="3">
        <v>14327.0</v>
      </c>
      <c r="I173" s="3">
        <v>14327.0</v>
      </c>
      <c r="J173" s="7">
        <f t="shared" si="1"/>
        <v>28654</v>
      </c>
      <c r="K173" s="3"/>
      <c r="L173" s="3" t="str">
        <f t="shared" si="2"/>
        <v>27AAACB2900K1ZZ-4320292131-03052024</v>
      </c>
      <c r="M173" s="8">
        <f t="shared" si="7"/>
        <v>18.00032666</v>
      </c>
      <c r="N173" s="3" t="str">
        <f t="shared" si="4"/>
        <v/>
      </c>
      <c r="O173" s="9" t="str">
        <f t="shared" si="5"/>
        <v/>
      </c>
      <c r="P173" s="3" t="str">
        <f t="shared" si="6"/>
        <v/>
      </c>
      <c r="Q173" s="3"/>
    </row>
    <row r="174" ht="15.75" customHeight="1">
      <c r="A174" s="4" t="s">
        <v>56</v>
      </c>
      <c r="B174" s="5" t="s">
        <v>57</v>
      </c>
      <c r="C174" s="5" t="s">
        <v>320</v>
      </c>
      <c r="D174" s="6">
        <v>45415.0</v>
      </c>
      <c r="E174" s="3"/>
      <c r="F174" s="3">
        <v>68288.0</v>
      </c>
      <c r="G174" s="3">
        <v>0.0</v>
      </c>
      <c r="H174" s="3">
        <v>6146.0</v>
      </c>
      <c r="I174" s="3">
        <v>6146.0</v>
      </c>
      <c r="J174" s="7">
        <f t="shared" si="1"/>
        <v>12292</v>
      </c>
      <c r="K174" s="3"/>
      <c r="L174" s="3" t="str">
        <f t="shared" si="2"/>
        <v>27AAACB2900K1ZZ-4320292133-03052024</v>
      </c>
      <c r="M174" s="8">
        <f t="shared" si="7"/>
        <v>18.0002343</v>
      </c>
      <c r="N174" s="3" t="str">
        <f t="shared" si="4"/>
        <v/>
      </c>
      <c r="O174" s="9" t="str">
        <f t="shared" si="5"/>
        <v/>
      </c>
      <c r="P174" s="3" t="str">
        <f t="shared" si="6"/>
        <v/>
      </c>
      <c r="Q174" s="3"/>
    </row>
    <row r="175" ht="15.75" customHeight="1">
      <c r="A175" s="4" t="s">
        <v>66</v>
      </c>
      <c r="B175" s="5" t="s">
        <v>67</v>
      </c>
      <c r="C175" s="5" t="s">
        <v>321</v>
      </c>
      <c r="D175" s="6">
        <v>45415.0</v>
      </c>
      <c r="E175" s="3"/>
      <c r="F175" s="3">
        <v>28378.8</v>
      </c>
      <c r="G175" s="3">
        <v>0.0</v>
      </c>
      <c r="H175" s="3">
        <v>2554.1</v>
      </c>
      <c r="I175" s="3">
        <v>2554.1</v>
      </c>
      <c r="J175" s="7">
        <f t="shared" si="1"/>
        <v>5108.2</v>
      </c>
      <c r="K175" s="3"/>
      <c r="L175" s="3" t="str">
        <f t="shared" si="2"/>
        <v>27AABFM0352J1ZH-45/24-25-03052024</v>
      </c>
      <c r="M175" s="8">
        <f t="shared" si="7"/>
        <v>18.00005638</v>
      </c>
      <c r="N175" s="3" t="str">
        <f t="shared" si="4"/>
        <v/>
      </c>
      <c r="O175" s="9" t="str">
        <f t="shared" si="5"/>
        <v/>
      </c>
      <c r="P175" s="3" t="str">
        <f t="shared" si="6"/>
        <v/>
      </c>
      <c r="Q175" s="3"/>
    </row>
    <row r="176" ht="15.75" customHeight="1">
      <c r="A176" s="4" t="s">
        <v>322</v>
      </c>
      <c r="B176" s="5" t="s">
        <v>264</v>
      </c>
      <c r="C176" s="5" t="s">
        <v>323</v>
      </c>
      <c r="D176" s="6">
        <v>45415.0</v>
      </c>
      <c r="E176" s="3"/>
      <c r="F176" s="3">
        <v>8000.0</v>
      </c>
      <c r="G176" s="3">
        <v>0.0</v>
      </c>
      <c r="H176" s="3">
        <v>720.0</v>
      </c>
      <c r="I176" s="3">
        <v>720.0</v>
      </c>
      <c r="J176" s="7">
        <f t="shared" si="1"/>
        <v>1440</v>
      </c>
      <c r="K176" s="3"/>
      <c r="L176" s="3" t="str">
        <f t="shared" si="2"/>
        <v>27AAACB2894G1ZN-HT2527I001152866-03052024</v>
      </c>
      <c r="M176" s="8">
        <f t="shared" si="7"/>
        <v>18</v>
      </c>
      <c r="N176" s="3" t="str">
        <f t="shared" si="4"/>
        <v/>
      </c>
      <c r="O176" s="9" t="str">
        <f t="shared" si="5"/>
        <v/>
      </c>
      <c r="P176" s="3" t="str">
        <f t="shared" si="6"/>
        <v/>
      </c>
      <c r="Q176" s="3"/>
    </row>
    <row r="177" ht="15.75" customHeight="1">
      <c r="A177" s="4" t="s">
        <v>169</v>
      </c>
      <c r="B177" s="5" t="s">
        <v>170</v>
      </c>
      <c r="C177" s="5" t="s">
        <v>324</v>
      </c>
      <c r="D177" s="6">
        <v>45416.0</v>
      </c>
      <c r="E177" s="3"/>
      <c r="F177" s="3">
        <v>828.0</v>
      </c>
      <c r="G177" s="3">
        <v>0.0</v>
      </c>
      <c r="H177" s="3">
        <v>74.52</v>
      </c>
      <c r="I177" s="3">
        <v>74.52</v>
      </c>
      <c r="J177" s="7">
        <f t="shared" si="1"/>
        <v>149.04</v>
      </c>
      <c r="K177" s="3"/>
      <c r="L177" s="3" t="str">
        <f t="shared" si="2"/>
        <v>27ADJPR1065Q1ZV-SMI/195/24-25-04052024</v>
      </c>
      <c r="M177" s="8">
        <f t="shared" si="7"/>
        <v>18</v>
      </c>
      <c r="N177" s="3" t="str">
        <f t="shared" si="4"/>
        <v/>
      </c>
      <c r="O177" s="9" t="str">
        <f t="shared" si="5"/>
        <v/>
      </c>
      <c r="P177" s="3" t="str">
        <f t="shared" si="6"/>
        <v/>
      </c>
      <c r="Q177" s="3"/>
    </row>
    <row r="178" ht="15.75" customHeight="1">
      <c r="A178" s="4" t="s">
        <v>44</v>
      </c>
      <c r="B178" s="5" t="s">
        <v>45</v>
      </c>
      <c r="C178" s="5" t="s">
        <v>325</v>
      </c>
      <c r="D178" s="6">
        <v>45416.0</v>
      </c>
      <c r="E178" s="3"/>
      <c r="F178" s="3">
        <v>28565.85</v>
      </c>
      <c r="G178" s="3">
        <v>0.0</v>
      </c>
      <c r="H178" s="3">
        <v>2570.93</v>
      </c>
      <c r="I178" s="3">
        <v>2570.93</v>
      </c>
      <c r="J178" s="7">
        <f t="shared" si="1"/>
        <v>5141.86</v>
      </c>
      <c r="K178" s="3"/>
      <c r="L178" s="3" t="str">
        <f t="shared" si="2"/>
        <v>27BAEPA9590G1ZL-BWND/24-25/305-04052024</v>
      </c>
      <c r="M178" s="8">
        <f t="shared" si="7"/>
        <v>18.0000245</v>
      </c>
      <c r="N178" s="3" t="str">
        <f t="shared" si="4"/>
        <v/>
      </c>
      <c r="O178" s="9" t="str">
        <f t="shared" si="5"/>
        <v/>
      </c>
      <c r="P178" s="3" t="str">
        <f t="shared" si="6"/>
        <v/>
      </c>
      <c r="Q178" s="3"/>
    </row>
    <row r="179" ht="15.75" customHeight="1">
      <c r="A179" s="4" t="s">
        <v>326</v>
      </c>
      <c r="B179" s="5" t="s">
        <v>327</v>
      </c>
      <c r="C179" s="5" t="s">
        <v>328</v>
      </c>
      <c r="D179" s="6">
        <v>45416.0</v>
      </c>
      <c r="E179" s="3"/>
      <c r="F179" s="3">
        <v>1877.1</v>
      </c>
      <c r="G179" s="3">
        <v>337.9</v>
      </c>
      <c r="H179" s="3">
        <v>0.0</v>
      </c>
      <c r="I179" s="3">
        <v>0.0</v>
      </c>
      <c r="J179" s="7">
        <f t="shared" si="1"/>
        <v>337.9</v>
      </c>
      <c r="K179" s="3"/>
      <c r="L179" s="3" t="str">
        <f t="shared" si="2"/>
        <v>07AAFFU2544N1ZT-EST/481-04052024</v>
      </c>
      <c r="M179" s="8">
        <f t="shared" si="7"/>
        <v>18.00117202</v>
      </c>
      <c r="N179" s="3" t="str">
        <f t="shared" si="4"/>
        <v/>
      </c>
      <c r="O179" s="9" t="str">
        <f t="shared" si="5"/>
        <v/>
      </c>
      <c r="P179" s="3" t="str">
        <f t="shared" si="6"/>
        <v/>
      </c>
      <c r="Q179" s="3"/>
    </row>
    <row r="180" ht="15.75" customHeight="1">
      <c r="A180" s="4" t="s">
        <v>44</v>
      </c>
      <c r="B180" s="5" t="s">
        <v>45</v>
      </c>
      <c r="C180" s="5" t="s">
        <v>329</v>
      </c>
      <c r="D180" s="6">
        <v>45418.0</v>
      </c>
      <c r="E180" s="3"/>
      <c r="F180" s="3">
        <v>1141.2</v>
      </c>
      <c r="G180" s="3">
        <v>0.0</v>
      </c>
      <c r="H180" s="3">
        <v>102.71</v>
      </c>
      <c r="I180" s="3">
        <v>102.71</v>
      </c>
      <c r="J180" s="7">
        <f t="shared" si="1"/>
        <v>205.42</v>
      </c>
      <c r="K180" s="3"/>
      <c r="L180" s="3" t="str">
        <f t="shared" si="2"/>
        <v>27BAEPA9590G1ZL-BWND/24-25/317-06052024</v>
      </c>
      <c r="M180" s="8">
        <f t="shared" si="7"/>
        <v>18.00035051</v>
      </c>
      <c r="N180" s="3" t="str">
        <f t="shared" si="4"/>
        <v/>
      </c>
      <c r="O180" s="9" t="str">
        <f t="shared" si="5"/>
        <v/>
      </c>
      <c r="P180" s="3" t="str">
        <f t="shared" si="6"/>
        <v/>
      </c>
      <c r="Q180" s="3"/>
    </row>
    <row r="181" ht="15.75" customHeight="1">
      <c r="A181" s="4" t="s">
        <v>76</v>
      </c>
      <c r="B181" s="5" t="s">
        <v>77</v>
      </c>
      <c r="C181" s="5" t="s">
        <v>330</v>
      </c>
      <c r="D181" s="6">
        <v>45418.0</v>
      </c>
      <c r="E181" s="3"/>
      <c r="F181" s="3">
        <v>1947.6</v>
      </c>
      <c r="G181" s="3">
        <v>0.0</v>
      </c>
      <c r="H181" s="3">
        <v>175.28</v>
      </c>
      <c r="I181" s="3">
        <v>175.28</v>
      </c>
      <c r="J181" s="7">
        <f t="shared" si="1"/>
        <v>350.56</v>
      </c>
      <c r="K181" s="3"/>
      <c r="L181" s="3" t="str">
        <f t="shared" si="2"/>
        <v>27AAVFK8826F1ZP-KPAS/24-25/990-06052024</v>
      </c>
      <c r="M181" s="8">
        <f t="shared" si="7"/>
        <v>17.99958924</v>
      </c>
      <c r="N181" s="3" t="str">
        <f t="shared" si="4"/>
        <v/>
      </c>
      <c r="O181" s="9" t="str">
        <f t="shared" si="5"/>
        <v/>
      </c>
      <c r="P181" s="3" t="str">
        <f t="shared" si="6"/>
        <v/>
      </c>
      <c r="Q181" s="3"/>
    </row>
    <row r="182" ht="15.75" customHeight="1">
      <c r="A182" s="4" t="s">
        <v>205</v>
      </c>
      <c r="B182" s="5" t="s">
        <v>206</v>
      </c>
      <c r="C182" s="5" t="s">
        <v>331</v>
      </c>
      <c r="D182" s="6">
        <v>45418.0</v>
      </c>
      <c r="E182" s="3"/>
      <c r="F182" s="3">
        <v>1280.0</v>
      </c>
      <c r="G182" s="3">
        <v>0.0</v>
      </c>
      <c r="H182" s="3">
        <v>115.2</v>
      </c>
      <c r="I182" s="3">
        <v>115.2</v>
      </c>
      <c r="J182" s="7">
        <f t="shared" si="1"/>
        <v>230.4</v>
      </c>
      <c r="K182" s="3"/>
      <c r="L182" s="3" t="str">
        <f t="shared" si="2"/>
        <v>27AAYFR6527R1ZW-24-25-00688-06052024</v>
      </c>
      <c r="M182" s="8">
        <f t="shared" si="7"/>
        <v>18</v>
      </c>
      <c r="N182" s="3" t="str">
        <f t="shared" si="4"/>
        <v/>
      </c>
      <c r="O182" s="9" t="str">
        <f t="shared" si="5"/>
        <v/>
      </c>
      <c r="P182" s="3" t="str">
        <f t="shared" si="6"/>
        <v/>
      </c>
      <c r="Q182" s="3"/>
    </row>
    <row r="183" ht="15.75" customHeight="1">
      <c r="A183" s="4" t="s">
        <v>47</v>
      </c>
      <c r="B183" s="5" t="s">
        <v>48</v>
      </c>
      <c r="C183" s="5" t="s">
        <v>332</v>
      </c>
      <c r="D183" s="6">
        <v>45418.0</v>
      </c>
      <c r="E183" s="3"/>
      <c r="F183" s="3">
        <v>33588.0</v>
      </c>
      <c r="G183" s="3">
        <v>0.0</v>
      </c>
      <c r="H183" s="3">
        <v>3022.92</v>
      </c>
      <c r="I183" s="3">
        <v>3022.92</v>
      </c>
      <c r="J183" s="7">
        <f t="shared" si="1"/>
        <v>6045.84</v>
      </c>
      <c r="K183" s="3"/>
      <c r="L183" s="3" t="str">
        <f t="shared" si="2"/>
        <v>27AAAFM2359N1ZZ-7792-06052024</v>
      </c>
      <c r="M183" s="8">
        <f t="shared" si="7"/>
        <v>18</v>
      </c>
      <c r="N183" s="3" t="str">
        <f t="shared" si="4"/>
        <v/>
      </c>
      <c r="O183" s="9" t="str">
        <f t="shared" si="5"/>
        <v/>
      </c>
      <c r="P183" s="3" t="str">
        <f t="shared" si="6"/>
        <v/>
      </c>
      <c r="Q183" s="3"/>
    </row>
    <row r="184" ht="15.75" customHeight="1">
      <c r="A184" s="4" t="s">
        <v>333</v>
      </c>
      <c r="B184" s="5" t="s">
        <v>334</v>
      </c>
      <c r="C184" s="5" t="s">
        <v>335</v>
      </c>
      <c r="D184" s="6">
        <v>45418.0</v>
      </c>
      <c r="E184" s="3"/>
      <c r="F184" s="3">
        <v>12800.0</v>
      </c>
      <c r="G184" s="3">
        <v>0.0</v>
      </c>
      <c r="H184" s="3">
        <v>1152.0</v>
      </c>
      <c r="I184" s="3">
        <v>1152.0</v>
      </c>
      <c r="J184" s="7">
        <f t="shared" si="1"/>
        <v>2304</v>
      </c>
      <c r="K184" s="3"/>
      <c r="L184" s="3" t="str">
        <f t="shared" si="2"/>
        <v>27AAACD7365G1ZL-1RG2425-53-06052024</v>
      </c>
      <c r="M184" s="8">
        <f t="shared" si="7"/>
        <v>18</v>
      </c>
      <c r="N184" s="3" t="str">
        <f t="shared" si="4"/>
        <v/>
      </c>
      <c r="O184" s="9" t="str">
        <f t="shared" si="5"/>
        <v/>
      </c>
      <c r="P184" s="3" t="str">
        <f t="shared" si="6"/>
        <v/>
      </c>
      <c r="Q184" s="3"/>
    </row>
    <row r="185" ht="15.75" customHeight="1">
      <c r="A185" s="4" t="s">
        <v>336</v>
      </c>
      <c r="B185" s="5" t="s">
        <v>337</v>
      </c>
      <c r="C185" s="5" t="s">
        <v>338</v>
      </c>
      <c r="D185" s="6">
        <v>45418.0</v>
      </c>
      <c r="E185" s="3"/>
      <c r="F185" s="3">
        <v>18547.2</v>
      </c>
      <c r="G185" s="3">
        <v>0.0</v>
      </c>
      <c r="H185" s="3">
        <v>1669.25</v>
      </c>
      <c r="I185" s="3">
        <v>1669.25</v>
      </c>
      <c r="J185" s="7">
        <f t="shared" si="1"/>
        <v>3338.5</v>
      </c>
      <c r="K185" s="3"/>
      <c r="L185" s="3" t="str">
        <f t="shared" si="2"/>
        <v>27AAACM2855Q1ZY-MH/1368/24-25-06052024</v>
      </c>
      <c r="M185" s="8">
        <f t="shared" si="7"/>
        <v>18.00002157</v>
      </c>
      <c r="N185" s="3" t="str">
        <f t="shared" si="4"/>
        <v/>
      </c>
      <c r="O185" s="9" t="str">
        <f t="shared" si="5"/>
        <v/>
      </c>
      <c r="P185" s="3" t="str">
        <f t="shared" si="6"/>
        <v/>
      </c>
      <c r="Q185" s="3"/>
    </row>
    <row r="186" ht="15.75" customHeight="1">
      <c r="A186" s="4" t="s">
        <v>66</v>
      </c>
      <c r="B186" s="5" t="s">
        <v>67</v>
      </c>
      <c r="C186" s="5" t="s">
        <v>339</v>
      </c>
      <c r="D186" s="6">
        <v>45418.0</v>
      </c>
      <c r="E186" s="3"/>
      <c r="F186" s="3">
        <v>10198.62</v>
      </c>
      <c r="G186" s="3">
        <v>0.0</v>
      </c>
      <c r="H186" s="3">
        <v>917.88</v>
      </c>
      <c r="I186" s="3">
        <v>917.88</v>
      </c>
      <c r="J186" s="7">
        <f t="shared" si="1"/>
        <v>1835.76</v>
      </c>
      <c r="K186" s="3"/>
      <c r="L186" s="3" t="str">
        <f t="shared" si="2"/>
        <v>27AABFM0352J1ZH-47/24-25-06052024</v>
      </c>
      <c r="M186" s="8">
        <f t="shared" si="7"/>
        <v>18.00008236</v>
      </c>
      <c r="N186" s="3" t="str">
        <f t="shared" si="4"/>
        <v/>
      </c>
      <c r="O186" s="9" t="str">
        <f t="shared" si="5"/>
        <v/>
      </c>
      <c r="P186" s="3" t="str">
        <f t="shared" si="6"/>
        <v/>
      </c>
      <c r="Q186" s="3"/>
    </row>
    <row r="187" ht="15.75" customHeight="1">
      <c r="A187" s="4" t="s">
        <v>340</v>
      </c>
      <c r="B187" s="5" t="s">
        <v>341</v>
      </c>
      <c r="C187" s="5" t="s">
        <v>342</v>
      </c>
      <c r="D187" s="6">
        <v>45418.0</v>
      </c>
      <c r="E187" s="3"/>
      <c r="F187" s="3">
        <v>511.0</v>
      </c>
      <c r="G187" s="3">
        <v>0.0</v>
      </c>
      <c r="H187" s="3">
        <v>0.0</v>
      </c>
      <c r="I187" s="3">
        <v>0.0</v>
      </c>
      <c r="J187" s="7">
        <f t="shared" si="1"/>
        <v>0</v>
      </c>
      <c r="K187" s="3"/>
      <c r="L187" s="3" t="str">
        <f t="shared" si="2"/>
        <v>27AAEHA2018Q1Z9-24186101838-06052024</v>
      </c>
      <c r="M187" s="8">
        <f t="shared" si="7"/>
        <v>0</v>
      </c>
      <c r="N187" s="3" t="str">
        <f t="shared" si="4"/>
        <v/>
      </c>
      <c r="O187" s="9" t="str">
        <f t="shared" si="5"/>
        <v/>
      </c>
      <c r="P187" s="3" t="str">
        <f t="shared" si="6"/>
        <v/>
      </c>
      <c r="Q187" s="3"/>
    </row>
    <row r="188" ht="15.75" customHeight="1">
      <c r="A188" s="4" t="s">
        <v>343</v>
      </c>
      <c r="B188" s="5" t="s">
        <v>344</v>
      </c>
      <c r="C188" s="5" t="s">
        <v>345</v>
      </c>
      <c r="D188" s="6">
        <v>45419.0</v>
      </c>
      <c r="E188" s="3"/>
      <c r="F188" s="3">
        <v>1293600.0</v>
      </c>
      <c r="G188" s="3">
        <v>0.0</v>
      </c>
      <c r="H188" s="3">
        <v>116424.0</v>
      </c>
      <c r="I188" s="3">
        <v>116424.0</v>
      </c>
      <c r="J188" s="7">
        <f t="shared" si="1"/>
        <v>232848</v>
      </c>
      <c r="K188" s="3"/>
      <c r="L188" s="3" t="str">
        <f t="shared" si="2"/>
        <v>27AABCB1447J1ZS-INV0204-07052024</v>
      </c>
      <c r="M188" s="8">
        <f t="shared" si="7"/>
        <v>18</v>
      </c>
      <c r="N188" s="3" t="str">
        <f t="shared" si="4"/>
        <v/>
      </c>
      <c r="O188" s="9" t="str">
        <f t="shared" si="5"/>
        <v/>
      </c>
      <c r="P188" s="3" t="str">
        <f t="shared" si="6"/>
        <v/>
      </c>
      <c r="Q188" s="3"/>
    </row>
    <row r="189" ht="15.75" customHeight="1">
      <c r="A189" s="4" t="s">
        <v>346</v>
      </c>
      <c r="B189" s="5" t="s">
        <v>347</v>
      </c>
      <c r="C189" s="5" t="s">
        <v>348</v>
      </c>
      <c r="D189" s="6">
        <v>45419.0</v>
      </c>
      <c r="E189" s="3"/>
      <c r="F189" s="3">
        <v>312.75</v>
      </c>
      <c r="G189" s="3">
        <v>0.0</v>
      </c>
      <c r="H189" s="3">
        <v>28.15</v>
      </c>
      <c r="I189" s="3">
        <v>28.15</v>
      </c>
      <c r="J189" s="7">
        <f t="shared" si="1"/>
        <v>56.3</v>
      </c>
      <c r="K189" s="3"/>
      <c r="L189" s="3" t="str">
        <f t="shared" si="2"/>
        <v>27AFGPK5440M1Z6-SS/00475/2024-25-07052024</v>
      </c>
      <c r="M189" s="8">
        <f t="shared" si="7"/>
        <v>18.00159872</v>
      </c>
      <c r="N189" s="3" t="str">
        <f t="shared" si="4"/>
        <v/>
      </c>
      <c r="O189" s="9" t="str">
        <f t="shared" si="5"/>
        <v/>
      </c>
      <c r="P189" s="3" t="str">
        <f t="shared" si="6"/>
        <v/>
      </c>
      <c r="Q189" s="3"/>
    </row>
    <row r="190" ht="15.75" customHeight="1">
      <c r="A190" s="4" t="s">
        <v>349</v>
      </c>
      <c r="B190" s="5" t="s">
        <v>350</v>
      </c>
      <c r="C190" s="5" t="s">
        <v>351</v>
      </c>
      <c r="D190" s="6">
        <v>45419.0</v>
      </c>
      <c r="E190" s="3"/>
      <c r="F190" s="3">
        <v>214500.0</v>
      </c>
      <c r="G190" s="3">
        <v>0.0</v>
      </c>
      <c r="H190" s="3">
        <v>19305.0</v>
      </c>
      <c r="I190" s="3">
        <v>19305.0</v>
      </c>
      <c r="J190" s="7">
        <f t="shared" si="1"/>
        <v>38610</v>
      </c>
      <c r="K190" s="3"/>
      <c r="L190" s="3" t="str">
        <f t="shared" si="2"/>
        <v>27AAACE1378A1Z3-GTU/466-07052024</v>
      </c>
      <c r="M190" s="8">
        <f t="shared" si="7"/>
        <v>18</v>
      </c>
      <c r="N190" s="3" t="str">
        <f t="shared" si="4"/>
        <v/>
      </c>
      <c r="O190" s="9" t="str">
        <f t="shared" si="5"/>
        <v/>
      </c>
      <c r="P190" s="3" t="str">
        <f t="shared" si="6"/>
        <v/>
      </c>
      <c r="Q190" s="3"/>
    </row>
    <row r="191" ht="15.75" customHeight="1">
      <c r="A191" s="4" t="s">
        <v>195</v>
      </c>
      <c r="B191" s="5" t="s">
        <v>196</v>
      </c>
      <c r="C191" s="5" t="s">
        <v>352</v>
      </c>
      <c r="D191" s="6">
        <v>45419.0</v>
      </c>
      <c r="E191" s="3"/>
      <c r="F191" s="3">
        <v>200.0</v>
      </c>
      <c r="G191" s="3">
        <v>0.0</v>
      </c>
      <c r="H191" s="3">
        <v>18.0</v>
      </c>
      <c r="I191" s="3">
        <v>18.0</v>
      </c>
      <c r="J191" s="7">
        <f t="shared" si="1"/>
        <v>36</v>
      </c>
      <c r="K191" s="3"/>
      <c r="L191" s="3" t="str">
        <f t="shared" si="2"/>
        <v>27ACIPK1680N1Z6-265/24-25-07052024</v>
      </c>
      <c r="M191" s="8">
        <f t="shared" si="7"/>
        <v>18</v>
      </c>
      <c r="N191" s="3" t="str">
        <f t="shared" si="4"/>
        <v/>
      </c>
      <c r="O191" s="9" t="str">
        <f t="shared" si="5"/>
        <v/>
      </c>
      <c r="P191" s="3" t="str">
        <f t="shared" si="6"/>
        <v/>
      </c>
      <c r="Q191" s="3"/>
    </row>
    <row r="192" ht="15.75" customHeight="1">
      <c r="A192" s="4" t="s">
        <v>154</v>
      </c>
      <c r="B192" s="5" t="s">
        <v>155</v>
      </c>
      <c r="C192" s="5" t="s">
        <v>353</v>
      </c>
      <c r="D192" s="6">
        <v>45419.0</v>
      </c>
      <c r="E192" s="3"/>
      <c r="F192" s="3">
        <v>19357.8</v>
      </c>
      <c r="G192" s="3">
        <v>0.0</v>
      </c>
      <c r="H192" s="3">
        <v>1742.2</v>
      </c>
      <c r="I192" s="3">
        <v>1742.2</v>
      </c>
      <c r="J192" s="7">
        <f t="shared" si="1"/>
        <v>3484.4</v>
      </c>
      <c r="K192" s="3"/>
      <c r="L192" s="3" t="str">
        <f t="shared" si="2"/>
        <v>27AACFE6426A1ZW-250278-07052024</v>
      </c>
      <c r="M192" s="8">
        <f t="shared" si="7"/>
        <v>17.99997934</v>
      </c>
      <c r="N192" s="3" t="str">
        <f t="shared" si="4"/>
        <v/>
      </c>
      <c r="O192" s="9" t="str">
        <f t="shared" si="5"/>
        <v/>
      </c>
      <c r="P192" s="3" t="str">
        <f t="shared" si="6"/>
        <v/>
      </c>
      <c r="Q192" s="3"/>
    </row>
    <row r="193" ht="15.75" customHeight="1">
      <c r="A193" s="4" t="s">
        <v>179</v>
      </c>
      <c r="B193" s="5" t="s">
        <v>180</v>
      </c>
      <c r="C193" s="5" t="s">
        <v>354</v>
      </c>
      <c r="D193" s="6">
        <v>45419.0</v>
      </c>
      <c r="E193" s="3"/>
      <c r="F193" s="3">
        <v>155480.85</v>
      </c>
      <c r="G193" s="3">
        <v>0.0</v>
      </c>
      <c r="H193" s="3">
        <v>13993.0</v>
      </c>
      <c r="I193" s="3">
        <v>13993.0</v>
      </c>
      <c r="J193" s="7">
        <f t="shared" si="1"/>
        <v>27986</v>
      </c>
      <c r="K193" s="3"/>
      <c r="L193" s="3" t="str">
        <f t="shared" si="2"/>
        <v>27AAACC3840K1ZP-424587899-07052024</v>
      </c>
      <c r="M193" s="8">
        <f t="shared" si="7"/>
        <v>17.99964433</v>
      </c>
      <c r="N193" s="3" t="str">
        <f t="shared" si="4"/>
        <v/>
      </c>
      <c r="O193" s="9" t="str">
        <f t="shared" si="5"/>
        <v/>
      </c>
      <c r="P193" s="3" t="str">
        <f t="shared" si="6"/>
        <v/>
      </c>
      <c r="Q193" s="3"/>
    </row>
    <row r="194" ht="15.75" customHeight="1">
      <c r="A194" s="4" t="s">
        <v>355</v>
      </c>
      <c r="B194" s="5" t="s">
        <v>356</v>
      </c>
      <c r="C194" s="5" t="s">
        <v>357</v>
      </c>
      <c r="D194" s="6">
        <v>45420.0</v>
      </c>
      <c r="E194" s="3"/>
      <c r="F194" s="3">
        <v>550.0</v>
      </c>
      <c r="G194" s="3">
        <v>0.0</v>
      </c>
      <c r="H194" s="3">
        <v>49.5</v>
      </c>
      <c r="I194" s="3">
        <v>49.5</v>
      </c>
      <c r="J194" s="7">
        <f t="shared" si="1"/>
        <v>99</v>
      </c>
      <c r="K194" s="3"/>
      <c r="L194" s="3" t="str">
        <f t="shared" si="2"/>
        <v>27AADPJ1094L1ZK-00100-08052024</v>
      </c>
      <c r="M194" s="8">
        <f t="shared" si="7"/>
        <v>18</v>
      </c>
      <c r="N194" s="3" t="str">
        <f t="shared" si="4"/>
        <v/>
      </c>
      <c r="O194" s="9" t="str">
        <f t="shared" si="5"/>
        <v/>
      </c>
      <c r="P194" s="3" t="str">
        <f t="shared" si="6"/>
        <v/>
      </c>
      <c r="Q194" s="3"/>
    </row>
    <row r="195" ht="15.75" customHeight="1">
      <c r="A195" s="4" t="s">
        <v>47</v>
      </c>
      <c r="B195" s="5" t="s">
        <v>48</v>
      </c>
      <c r="C195" s="5" t="s">
        <v>358</v>
      </c>
      <c r="D195" s="6">
        <v>45420.0</v>
      </c>
      <c r="E195" s="3"/>
      <c r="F195" s="3">
        <v>13779.0</v>
      </c>
      <c r="G195" s="3">
        <v>0.0</v>
      </c>
      <c r="H195" s="3">
        <v>1240.11</v>
      </c>
      <c r="I195" s="3">
        <v>1240.11</v>
      </c>
      <c r="J195" s="7">
        <f t="shared" si="1"/>
        <v>2480.22</v>
      </c>
      <c r="K195" s="3"/>
      <c r="L195" s="3" t="str">
        <f t="shared" si="2"/>
        <v>27AAAFM2359N1ZZ-7803-08052024</v>
      </c>
      <c r="M195" s="8">
        <f t="shared" si="7"/>
        <v>18</v>
      </c>
      <c r="N195" s="3" t="str">
        <f t="shared" si="4"/>
        <v/>
      </c>
      <c r="O195" s="9" t="str">
        <f t="shared" si="5"/>
        <v/>
      </c>
      <c r="P195" s="3" t="str">
        <f t="shared" si="6"/>
        <v/>
      </c>
      <c r="Q195" s="3"/>
    </row>
    <row r="196" ht="15.75" customHeight="1">
      <c r="A196" s="4" t="s">
        <v>343</v>
      </c>
      <c r="B196" s="5" t="s">
        <v>344</v>
      </c>
      <c r="C196" s="5" t="s">
        <v>359</v>
      </c>
      <c r="D196" s="6">
        <v>45420.0</v>
      </c>
      <c r="E196" s="3"/>
      <c r="F196" s="3">
        <v>360600.0</v>
      </c>
      <c r="G196" s="3">
        <v>0.0</v>
      </c>
      <c r="H196" s="3">
        <v>32454.0</v>
      </c>
      <c r="I196" s="3">
        <v>32454.0</v>
      </c>
      <c r="J196" s="7">
        <f t="shared" si="1"/>
        <v>64908</v>
      </c>
      <c r="K196" s="3"/>
      <c r="L196" s="3" t="str">
        <f t="shared" si="2"/>
        <v>27AABCB1447J1ZS-INV0212-08052024</v>
      </c>
      <c r="M196" s="8">
        <f t="shared" si="7"/>
        <v>18</v>
      </c>
      <c r="N196" s="3" t="str">
        <f t="shared" si="4"/>
        <v/>
      </c>
      <c r="O196" s="9" t="str">
        <f t="shared" si="5"/>
        <v/>
      </c>
      <c r="P196" s="3" t="str">
        <f t="shared" si="6"/>
        <v/>
      </c>
      <c r="Q196" s="3"/>
    </row>
    <row r="197" ht="15.75" customHeight="1">
      <c r="A197" s="4" t="s">
        <v>360</v>
      </c>
      <c r="B197" s="5" t="s">
        <v>361</v>
      </c>
      <c r="C197" s="5" t="s">
        <v>362</v>
      </c>
      <c r="D197" s="6">
        <v>45420.0</v>
      </c>
      <c r="E197" s="3"/>
      <c r="F197" s="3">
        <v>2000.0</v>
      </c>
      <c r="G197" s="3">
        <v>0.0</v>
      </c>
      <c r="H197" s="3">
        <v>180.0</v>
      </c>
      <c r="I197" s="3">
        <v>180.0</v>
      </c>
      <c r="J197" s="7">
        <f t="shared" si="1"/>
        <v>360</v>
      </c>
      <c r="K197" s="3"/>
      <c r="L197" s="3" t="str">
        <f t="shared" si="2"/>
        <v>27ABLFA4613R1ZX-6978-08052024</v>
      </c>
      <c r="M197" s="8">
        <f t="shared" si="7"/>
        <v>18</v>
      </c>
      <c r="N197" s="3" t="str">
        <f t="shared" si="4"/>
        <v/>
      </c>
      <c r="O197" s="9" t="str">
        <f t="shared" si="5"/>
        <v/>
      </c>
      <c r="P197" s="3" t="str">
        <f t="shared" si="6"/>
        <v/>
      </c>
      <c r="Q197" s="3"/>
    </row>
    <row r="198" ht="15.75" customHeight="1">
      <c r="A198" s="4" t="s">
        <v>22</v>
      </c>
      <c r="B198" s="5" t="s">
        <v>23</v>
      </c>
      <c r="C198" s="5" t="s">
        <v>363</v>
      </c>
      <c r="D198" s="6">
        <v>45420.0</v>
      </c>
      <c r="E198" s="3"/>
      <c r="F198" s="3">
        <v>834.96</v>
      </c>
      <c r="G198" s="3">
        <v>0.0</v>
      </c>
      <c r="H198" s="3">
        <v>75.15</v>
      </c>
      <c r="I198" s="3">
        <v>75.15</v>
      </c>
      <c r="J198" s="7">
        <f t="shared" si="1"/>
        <v>150.3</v>
      </c>
      <c r="K198" s="3"/>
      <c r="L198" s="3" t="str">
        <f t="shared" si="2"/>
        <v>27AABFS2833A1ZO-SLSLM-03048-08052024</v>
      </c>
      <c r="M198" s="8">
        <f t="shared" si="7"/>
        <v>18.00086232</v>
      </c>
      <c r="N198" s="3" t="str">
        <f t="shared" si="4"/>
        <v/>
      </c>
      <c r="O198" s="9" t="str">
        <f t="shared" si="5"/>
        <v/>
      </c>
      <c r="P198" s="3" t="str">
        <f t="shared" si="6"/>
        <v/>
      </c>
      <c r="Q198" s="3"/>
    </row>
    <row r="199" ht="15.75" customHeight="1">
      <c r="A199" s="4" t="s">
        <v>250</v>
      </c>
      <c r="B199" s="5" t="s">
        <v>251</v>
      </c>
      <c r="C199" s="5" t="s">
        <v>364</v>
      </c>
      <c r="D199" s="6">
        <v>45420.0</v>
      </c>
      <c r="E199" s="3"/>
      <c r="F199" s="3">
        <v>14654.5</v>
      </c>
      <c r="G199" s="3">
        <v>0.0</v>
      </c>
      <c r="H199" s="3">
        <v>1318.9</v>
      </c>
      <c r="I199" s="3">
        <v>1318.9</v>
      </c>
      <c r="J199" s="7">
        <f t="shared" si="1"/>
        <v>2637.8</v>
      </c>
      <c r="K199" s="3"/>
      <c r="L199" s="3" t="str">
        <f t="shared" si="2"/>
        <v>27AIQPC0343L1Z7-6336/24-25-08052024</v>
      </c>
      <c r="M199" s="8">
        <f t="shared" si="7"/>
        <v>17.99993176</v>
      </c>
      <c r="N199" s="3" t="str">
        <f t="shared" si="4"/>
        <v/>
      </c>
      <c r="O199" s="9" t="str">
        <f t="shared" si="5"/>
        <v/>
      </c>
      <c r="P199" s="3" t="str">
        <f t="shared" si="6"/>
        <v/>
      </c>
      <c r="Q199" s="3"/>
    </row>
    <row r="200" ht="15.75" customHeight="1">
      <c r="A200" s="4" t="s">
        <v>38</v>
      </c>
      <c r="B200" s="5" t="s">
        <v>39</v>
      </c>
      <c r="C200" s="5" t="s">
        <v>365</v>
      </c>
      <c r="D200" s="6">
        <v>45420.0</v>
      </c>
      <c r="E200" s="3"/>
      <c r="F200" s="3">
        <v>2380.0</v>
      </c>
      <c r="G200" s="3">
        <v>0.0</v>
      </c>
      <c r="H200" s="3">
        <v>142.8</v>
      </c>
      <c r="I200" s="3">
        <v>142.8</v>
      </c>
      <c r="J200" s="7">
        <f t="shared" si="1"/>
        <v>285.6</v>
      </c>
      <c r="K200" s="3"/>
      <c r="L200" s="3" t="str">
        <f t="shared" si="2"/>
        <v>27AOVPP9192F2Z0-278-08052024</v>
      </c>
      <c r="M200" s="8">
        <f t="shared" si="7"/>
        <v>12</v>
      </c>
      <c r="N200" s="3" t="str">
        <f t="shared" si="4"/>
        <v/>
      </c>
      <c r="O200" s="9" t="str">
        <f t="shared" si="5"/>
        <v/>
      </c>
      <c r="P200" s="3" t="str">
        <f t="shared" si="6"/>
        <v/>
      </c>
      <c r="Q200" s="3"/>
    </row>
    <row r="201" ht="15.75" customHeight="1">
      <c r="A201" s="4" t="s">
        <v>66</v>
      </c>
      <c r="B201" s="5" t="s">
        <v>67</v>
      </c>
      <c r="C201" s="5" t="s">
        <v>124</v>
      </c>
      <c r="D201" s="6">
        <v>45420.0</v>
      </c>
      <c r="E201" s="3"/>
      <c r="F201" s="3">
        <v>6769.8</v>
      </c>
      <c r="G201" s="3">
        <v>0.0</v>
      </c>
      <c r="H201" s="3">
        <v>609.28</v>
      </c>
      <c r="I201" s="3">
        <v>609.28</v>
      </c>
      <c r="J201" s="7">
        <f t="shared" si="1"/>
        <v>1218.56</v>
      </c>
      <c r="K201" s="3"/>
      <c r="L201" s="3" t="str">
        <f t="shared" si="2"/>
        <v>27AABFM0352J1ZH-49/24-25-08052024</v>
      </c>
      <c r="M201" s="8">
        <f t="shared" si="7"/>
        <v>17.99994091</v>
      </c>
      <c r="N201" s="3" t="str">
        <f t="shared" si="4"/>
        <v/>
      </c>
      <c r="O201" s="9" t="str">
        <f t="shared" si="5"/>
        <v/>
      </c>
      <c r="P201" s="3" t="str">
        <f t="shared" si="6"/>
        <v/>
      </c>
      <c r="Q201" s="3"/>
    </row>
    <row r="202" ht="15.75" customHeight="1">
      <c r="A202" s="4" t="s">
        <v>94</v>
      </c>
      <c r="B202" s="5" t="s">
        <v>95</v>
      </c>
      <c r="C202" s="5" t="s">
        <v>43</v>
      </c>
      <c r="D202" s="6">
        <v>45420.0</v>
      </c>
      <c r="E202" s="3"/>
      <c r="F202" s="3">
        <v>9092.46</v>
      </c>
      <c r="G202" s="3">
        <v>0.0</v>
      </c>
      <c r="H202" s="3">
        <v>777.28</v>
      </c>
      <c r="I202" s="3">
        <v>777.28</v>
      </c>
      <c r="J202" s="7">
        <f t="shared" si="1"/>
        <v>1554.56</v>
      </c>
      <c r="K202" s="3"/>
      <c r="L202" s="3" t="str">
        <f t="shared" si="2"/>
        <v>27ABSPP9163G1ZY-21-08052024</v>
      </c>
      <c r="M202" s="8">
        <f t="shared" si="7"/>
        <v>17.09724321</v>
      </c>
      <c r="N202" s="3" t="str">
        <f t="shared" si="4"/>
        <v/>
      </c>
      <c r="O202" s="9" t="str">
        <f t="shared" si="5"/>
        <v/>
      </c>
      <c r="P202" s="3" t="str">
        <f t="shared" si="6"/>
        <v/>
      </c>
      <c r="Q202" s="3"/>
    </row>
    <row r="203" ht="15.75" customHeight="1">
      <c r="A203" s="4" t="s">
        <v>165</v>
      </c>
      <c r="B203" s="5" t="s">
        <v>166</v>
      </c>
      <c r="C203" s="5" t="s">
        <v>366</v>
      </c>
      <c r="D203" s="6">
        <v>45420.0</v>
      </c>
      <c r="E203" s="3"/>
      <c r="F203" s="3">
        <v>495.0</v>
      </c>
      <c r="G203" s="3">
        <v>0.0</v>
      </c>
      <c r="H203" s="3">
        <v>31.5</v>
      </c>
      <c r="I203" s="3">
        <v>31.5</v>
      </c>
      <c r="J203" s="7">
        <f t="shared" si="1"/>
        <v>63</v>
      </c>
      <c r="K203" s="3"/>
      <c r="L203" s="3" t="str">
        <f t="shared" si="2"/>
        <v>27AAPPH6742M2Z2-ME/549/2024-25-08052024</v>
      </c>
      <c r="M203" s="8">
        <f t="shared" si="7"/>
        <v>12.72727273</v>
      </c>
      <c r="N203" s="3" t="str">
        <f t="shared" si="4"/>
        <v/>
      </c>
      <c r="O203" s="9" t="str">
        <f t="shared" si="5"/>
        <v/>
      </c>
      <c r="P203" s="3" t="str">
        <f t="shared" si="6"/>
        <v/>
      </c>
      <c r="Q203" s="3"/>
    </row>
    <row r="204" ht="15.75" customHeight="1">
      <c r="A204" s="4" t="s">
        <v>69</v>
      </c>
      <c r="B204" s="5" t="s">
        <v>70</v>
      </c>
      <c r="C204" s="5" t="s">
        <v>367</v>
      </c>
      <c r="D204" s="6">
        <v>45421.0</v>
      </c>
      <c r="E204" s="3"/>
      <c r="F204" s="3">
        <v>23931.9</v>
      </c>
      <c r="G204" s="3">
        <v>0.0</v>
      </c>
      <c r="H204" s="3">
        <v>2153.86</v>
      </c>
      <c r="I204" s="3">
        <v>2153.86</v>
      </c>
      <c r="J204" s="7">
        <f t="shared" si="1"/>
        <v>4307.72</v>
      </c>
      <c r="K204" s="3"/>
      <c r="L204" s="3" t="str">
        <f t="shared" si="2"/>
        <v>27AAEFR8996A1ZU-635/24-25-09052024</v>
      </c>
      <c r="M204" s="8">
        <f t="shared" si="7"/>
        <v>17.99990807</v>
      </c>
      <c r="N204" s="3" t="str">
        <f t="shared" si="4"/>
        <v/>
      </c>
      <c r="O204" s="9" t="str">
        <f t="shared" si="5"/>
        <v/>
      </c>
      <c r="P204" s="3" t="str">
        <f t="shared" si="6"/>
        <v/>
      </c>
      <c r="Q204" s="3"/>
    </row>
    <row r="205" ht="15.75" customHeight="1">
      <c r="A205" s="4" t="s">
        <v>368</v>
      </c>
      <c r="B205" s="5" t="s">
        <v>369</v>
      </c>
      <c r="C205" s="5" t="s">
        <v>370</v>
      </c>
      <c r="D205" s="6">
        <v>45421.0</v>
      </c>
      <c r="E205" s="3"/>
      <c r="F205" s="3">
        <v>7000.0</v>
      </c>
      <c r="G205" s="3">
        <v>0.0</v>
      </c>
      <c r="H205" s="3">
        <v>630.0</v>
      </c>
      <c r="I205" s="3">
        <v>630.0</v>
      </c>
      <c r="J205" s="7">
        <f t="shared" si="1"/>
        <v>1260</v>
      </c>
      <c r="K205" s="3"/>
      <c r="L205" s="3" t="str">
        <f t="shared" si="2"/>
        <v>27ABJPB2065L1ZN-JKMT/24-25/150-09052024</v>
      </c>
      <c r="M205" s="8">
        <f t="shared" si="7"/>
        <v>18</v>
      </c>
      <c r="N205" s="3" t="str">
        <f t="shared" si="4"/>
        <v/>
      </c>
      <c r="O205" s="9" t="str">
        <f t="shared" si="5"/>
        <v/>
      </c>
      <c r="P205" s="3" t="str">
        <f t="shared" si="6"/>
        <v/>
      </c>
      <c r="Q205" s="3"/>
    </row>
    <row r="206" ht="15.75" customHeight="1">
      <c r="A206" s="4" t="s">
        <v>290</v>
      </c>
      <c r="B206" s="5"/>
      <c r="C206" s="5" t="s">
        <v>371</v>
      </c>
      <c r="D206" s="6">
        <v>45421.0</v>
      </c>
      <c r="E206" s="3"/>
      <c r="F206" s="3">
        <v>6857.0</v>
      </c>
      <c r="G206" s="3">
        <v>0.0</v>
      </c>
      <c r="H206" s="3">
        <v>616.2299999999999</v>
      </c>
      <c r="I206" s="3">
        <v>616.2299999999999</v>
      </c>
      <c r="J206" s="7">
        <f t="shared" si="1"/>
        <v>1232.46</v>
      </c>
      <c r="K206" s="3"/>
      <c r="L206" s="3" t="str">
        <f t="shared" si="2"/>
        <v/>
      </c>
      <c r="M206" s="8">
        <f t="shared" si="7"/>
        <v>17.97374945</v>
      </c>
      <c r="N206" s="3" t="str">
        <f t="shared" si="4"/>
        <v>GSTIN not entered</v>
      </c>
      <c r="O206" s="9" t="str">
        <f t="shared" si="5"/>
        <v/>
      </c>
      <c r="P206" s="3" t="str">
        <f t="shared" si="6"/>
        <v/>
      </c>
      <c r="Q206" s="3"/>
    </row>
    <row r="207" ht="15.75" customHeight="1">
      <c r="A207" s="4" t="s">
        <v>47</v>
      </c>
      <c r="B207" s="5" t="s">
        <v>48</v>
      </c>
      <c r="C207" s="5" t="s">
        <v>372</v>
      </c>
      <c r="D207" s="6">
        <v>45422.0</v>
      </c>
      <c r="E207" s="3"/>
      <c r="F207" s="3">
        <v>32638.5</v>
      </c>
      <c r="G207" s="3">
        <v>0.0</v>
      </c>
      <c r="H207" s="3">
        <v>2937.47</v>
      </c>
      <c r="I207" s="3">
        <v>2937.47</v>
      </c>
      <c r="J207" s="7">
        <f t="shared" si="1"/>
        <v>5874.94</v>
      </c>
      <c r="K207" s="3"/>
      <c r="L207" s="3" t="str">
        <f t="shared" si="2"/>
        <v>27AAAFM2359N1ZZ-7810-10052024</v>
      </c>
      <c r="M207" s="8">
        <f t="shared" si="7"/>
        <v>18.00003064</v>
      </c>
      <c r="N207" s="3" t="str">
        <f t="shared" si="4"/>
        <v/>
      </c>
      <c r="O207" s="9" t="str">
        <f t="shared" si="5"/>
        <v/>
      </c>
      <c r="P207" s="3" t="str">
        <f t="shared" si="6"/>
        <v/>
      </c>
      <c r="Q207" s="3"/>
    </row>
    <row r="208" ht="15.75" customHeight="1">
      <c r="A208" s="4" t="s">
        <v>76</v>
      </c>
      <c r="B208" s="5" t="s">
        <v>77</v>
      </c>
      <c r="C208" s="5" t="s">
        <v>373</v>
      </c>
      <c r="D208" s="6">
        <v>45422.0</v>
      </c>
      <c r="E208" s="3"/>
      <c r="F208" s="3">
        <v>8019.0</v>
      </c>
      <c r="G208" s="3">
        <v>0.0</v>
      </c>
      <c r="H208" s="3">
        <v>721.71</v>
      </c>
      <c r="I208" s="3">
        <v>721.71</v>
      </c>
      <c r="J208" s="7">
        <f t="shared" si="1"/>
        <v>1443.42</v>
      </c>
      <c r="K208" s="3"/>
      <c r="L208" s="3" t="str">
        <f t="shared" si="2"/>
        <v>27AAVFK8826F1ZP-KPAS/24-25/1130-10052024</v>
      </c>
      <c r="M208" s="8">
        <f t="shared" si="7"/>
        <v>18</v>
      </c>
      <c r="N208" s="3" t="str">
        <f t="shared" si="4"/>
        <v/>
      </c>
      <c r="O208" s="9" t="str">
        <f t="shared" si="5"/>
        <v/>
      </c>
      <c r="P208" s="3" t="str">
        <f t="shared" si="6"/>
        <v/>
      </c>
      <c r="Q208" s="3"/>
    </row>
    <row r="209" ht="15.75" customHeight="1">
      <c r="A209" s="4" t="s">
        <v>69</v>
      </c>
      <c r="B209" s="5" t="s">
        <v>70</v>
      </c>
      <c r="C209" s="5" t="s">
        <v>374</v>
      </c>
      <c r="D209" s="6">
        <v>45422.0</v>
      </c>
      <c r="E209" s="3"/>
      <c r="F209" s="3">
        <v>122111.1</v>
      </c>
      <c r="G209" s="3">
        <v>0.0</v>
      </c>
      <c r="H209" s="3">
        <v>10990.01</v>
      </c>
      <c r="I209" s="3">
        <v>10990.01</v>
      </c>
      <c r="J209" s="7">
        <f t="shared" si="1"/>
        <v>21980.02</v>
      </c>
      <c r="K209" s="3"/>
      <c r="L209" s="3" t="str">
        <f t="shared" si="2"/>
        <v>27AAEFR8996A1ZU-650/24-25-10052024</v>
      </c>
      <c r="M209" s="8">
        <f t="shared" si="7"/>
        <v>18.00001802</v>
      </c>
      <c r="N209" s="3" t="str">
        <f t="shared" si="4"/>
        <v/>
      </c>
      <c r="O209" s="9" t="str">
        <f t="shared" si="5"/>
        <v/>
      </c>
      <c r="P209" s="3" t="str">
        <f t="shared" si="6"/>
        <v/>
      </c>
      <c r="Q209" s="3"/>
    </row>
    <row r="210" ht="15.75" customHeight="1">
      <c r="A210" s="4" t="s">
        <v>139</v>
      </c>
      <c r="B210" s="5" t="s">
        <v>140</v>
      </c>
      <c r="C210" s="5" t="s">
        <v>375</v>
      </c>
      <c r="D210" s="6">
        <v>45422.0</v>
      </c>
      <c r="E210" s="3"/>
      <c r="F210" s="3">
        <v>1177.9</v>
      </c>
      <c r="G210" s="3">
        <v>0.0</v>
      </c>
      <c r="H210" s="3">
        <v>106.01</v>
      </c>
      <c r="I210" s="3">
        <v>106.01</v>
      </c>
      <c r="J210" s="7">
        <f t="shared" si="1"/>
        <v>212.02</v>
      </c>
      <c r="K210" s="3"/>
      <c r="L210" s="3" t="str">
        <f t="shared" si="2"/>
        <v>27AAAFU1306P1Z2-7018-10052024</v>
      </c>
      <c r="M210" s="8">
        <f t="shared" si="7"/>
        <v>17.99983021</v>
      </c>
      <c r="N210" s="3" t="str">
        <f t="shared" si="4"/>
        <v/>
      </c>
      <c r="O210" s="9" t="str">
        <f t="shared" si="5"/>
        <v/>
      </c>
      <c r="P210" s="3" t="str">
        <f t="shared" si="6"/>
        <v/>
      </c>
      <c r="Q210" s="3"/>
    </row>
    <row r="211" ht="15.75" customHeight="1">
      <c r="A211" s="4" t="s">
        <v>229</v>
      </c>
      <c r="B211" s="5" t="s">
        <v>230</v>
      </c>
      <c r="C211" s="5" t="s">
        <v>376</v>
      </c>
      <c r="D211" s="6">
        <v>45422.0</v>
      </c>
      <c r="E211" s="3"/>
      <c r="F211" s="3">
        <v>480.0</v>
      </c>
      <c r="G211" s="3">
        <v>0.0</v>
      </c>
      <c r="H211" s="3">
        <v>43.0</v>
      </c>
      <c r="I211" s="3">
        <v>43.0</v>
      </c>
      <c r="J211" s="7">
        <f t="shared" si="1"/>
        <v>86</v>
      </c>
      <c r="K211" s="3"/>
      <c r="L211" s="3" t="str">
        <f t="shared" si="2"/>
        <v>27AADPN9795N1ZO-183-10052024</v>
      </c>
      <c r="M211" s="8">
        <f t="shared" si="7"/>
        <v>17.91666667</v>
      </c>
      <c r="N211" s="3" t="str">
        <f t="shared" si="4"/>
        <v/>
      </c>
      <c r="O211" s="9" t="str">
        <f t="shared" si="5"/>
        <v/>
      </c>
      <c r="P211" s="3" t="str">
        <f t="shared" si="6"/>
        <v/>
      </c>
      <c r="Q211" s="3"/>
    </row>
    <row r="212" ht="15.75" customHeight="1">
      <c r="A212" s="4" t="s">
        <v>148</v>
      </c>
      <c r="B212" s="5" t="s">
        <v>149</v>
      </c>
      <c r="C212" s="5" t="s">
        <v>377</v>
      </c>
      <c r="D212" s="6">
        <v>45422.0</v>
      </c>
      <c r="E212" s="3"/>
      <c r="F212" s="3">
        <v>1000.0</v>
      </c>
      <c r="G212" s="3">
        <v>0.0</v>
      </c>
      <c r="H212" s="3">
        <v>90.0</v>
      </c>
      <c r="I212" s="3">
        <v>90.0</v>
      </c>
      <c r="J212" s="7">
        <f t="shared" si="1"/>
        <v>180</v>
      </c>
      <c r="K212" s="3"/>
      <c r="L212" s="3" t="str">
        <f t="shared" si="2"/>
        <v>27AAJCA9907C1ZN-ASSPL/24-25/0115-10052024</v>
      </c>
      <c r="M212" s="8">
        <f t="shared" si="7"/>
        <v>18</v>
      </c>
      <c r="N212" s="3" t="str">
        <f t="shared" si="4"/>
        <v/>
      </c>
      <c r="O212" s="9" t="str">
        <f t="shared" si="5"/>
        <v/>
      </c>
      <c r="P212" s="3" t="str">
        <f t="shared" si="6"/>
        <v/>
      </c>
      <c r="Q212" s="3"/>
    </row>
    <row r="213" ht="15.75" customHeight="1">
      <c r="A213" s="4" t="s">
        <v>195</v>
      </c>
      <c r="B213" s="5" t="s">
        <v>196</v>
      </c>
      <c r="C213" s="5" t="s">
        <v>378</v>
      </c>
      <c r="D213" s="6">
        <v>45423.0</v>
      </c>
      <c r="E213" s="3"/>
      <c r="F213" s="3">
        <v>2600.0</v>
      </c>
      <c r="G213" s="3">
        <v>0.0</v>
      </c>
      <c r="H213" s="3">
        <v>234.0</v>
      </c>
      <c r="I213" s="3">
        <v>234.0</v>
      </c>
      <c r="J213" s="7">
        <f t="shared" si="1"/>
        <v>468</v>
      </c>
      <c r="K213" s="3"/>
      <c r="L213" s="3" t="str">
        <f t="shared" si="2"/>
        <v>27ACIPK1680N1Z6-299/24-25-11052024</v>
      </c>
      <c r="M213" s="8">
        <f t="shared" si="7"/>
        <v>18</v>
      </c>
      <c r="N213" s="3" t="str">
        <f t="shared" si="4"/>
        <v/>
      </c>
      <c r="O213" s="9" t="str">
        <f t="shared" si="5"/>
        <v/>
      </c>
      <c r="P213" s="3" t="str">
        <f t="shared" si="6"/>
        <v/>
      </c>
      <c r="Q213" s="3"/>
    </row>
    <row r="214" ht="15.75" customHeight="1">
      <c r="A214" s="4" t="s">
        <v>273</v>
      </c>
      <c r="B214" s="5" t="s">
        <v>274</v>
      </c>
      <c r="C214" s="5" t="s">
        <v>379</v>
      </c>
      <c r="D214" s="6">
        <v>45423.0</v>
      </c>
      <c r="E214" s="3"/>
      <c r="F214" s="3">
        <v>775.0</v>
      </c>
      <c r="G214" s="3">
        <v>0.0</v>
      </c>
      <c r="H214" s="3">
        <v>69.75</v>
      </c>
      <c r="I214" s="3">
        <v>69.75</v>
      </c>
      <c r="J214" s="7">
        <f t="shared" si="1"/>
        <v>139.5</v>
      </c>
      <c r="K214" s="3"/>
      <c r="L214" s="3" t="str">
        <f t="shared" si="2"/>
        <v>27AAOPS6151N1ZW-61-11052024</v>
      </c>
      <c r="M214" s="8">
        <f t="shared" si="7"/>
        <v>18</v>
      </c>
      <c r="N214" s="3" t="str">
        <f t="shared" si="4"/>
        <v/>
      </c>
      <c r="O214" s="9" t="str">
        <f t="shared" si="5"/>
        <v/>
      </c>
      <c r="P214" s="3" t="str">
        <f t="shared" si="6"/>
        <v/>
      </c>
      <c r="Q214" s="3"/>
    </row>
    <row r="215" ht="15.75" customHeight="1">
      <c r="A215" s="4" t="s">
        <v>56</v>
      </c>
      <c r="B215" s="5" t="s">
        <v>57</v>
      </c>
      <c r="C215" s="5" t="s">
        <v>380</v>
      </c>
      <c r="D215" s="6">
        <v>45423.0</v>
      </c>
      <c r="E215" s="3"/>
      <c r="F215" s="3">
        <v>159630.0</v>
      </c>
      <c r="G215" s="3">
        <v>0.0</v>
      </c>
      <c r="H215" s="3">
        <v>14367.0</v>
      </c>
      <c r="I215" s="3">
        <v>14367.0</v>
      </c>
      <c r="J215" s="7">
        <f t="shared" si="1"/>
        <v>28734</v>
      </c>
      <c r="K215" s="3"/>
      <c r="L215" s="3" t="str">
        <f t="shared" si="2"/>
        <v>27AAACB2900K1ZZ-4320292830-11052024</v>
      </c>
      <c r="M215" s="8">
        <f t="shared" si="7"/>
        <v>18.00037587</v>
      </c>
      <c r="N215" s="3" t="str">
        <f t="shared" si="4"/>
        <v/>
      </c>
      <c r="O215" s="9" t="str">
        <f t="shared" si="5"/>
        <v/>
      </c>
      <c r="P215" s="3" t="str">
        <f t="shared" si="6"/>
        <v/>
      </c>
      <c r="Q215" s="3"/>
    </row>
    <row r="216" ht="15.75" customHeight="1">
      <c r="A216" s="4" t="s">
        <v>56</v>
      </c>
      <c r="B216" s="5" t="s">
        <v>57</v>
      </c>
      <c r="C216" s="5" t="s">
        <v>381</v>
      </c>
      <c r="D216" s="6">
        <v>45423.0</v>
      </c>
      <c r="E216" s="3"/>
      <c r="F216" s="3">
        <v>4796.0</v>
      </c>
      <c r="G216" s="3">
        <v>0.0</v>
      </c>
      <c r="H216" s="3">
        <v>432.0</v>
      </c>
      <c r="I216" s="3">
        <v>432.0</v>
      </c>
      <c r="J216" s="7">
        <f t="shared" si="1"/>
        <v>864</v>
      </c>
      <c r="K216" s="3"/>
      <c r="L216" s="3" t="str">
        <f t="shared" si="2"/>
        <v>27AAACB2900K1ZZ-4320292832-11052024</v>
      </c>
      <c r="M216" s="8">
        <f t="shared" si="7"/>
        <v>18.01501251</v>
      </c>
      <c r="N216" s="3" t="str">
        <f t="shared" si="4"/>
        <v/>
      </c>
      <c r="O216" s="9" t="str">
        <f t="shared" si="5"/>
        <v/>
      </c>
      <c r="P216" s="3" t="str">
        <f t="shared" si="6"/>
        <v/>
      </c>
      <c r="Q216" s="3"/>
    </row>
    <row r="217" ht="15.75" customHeight="1">
      <c r="A217" s="4" t="s">
        <v>56</v>
      </c>
      <c r="B217" s="5" t="s">
        <v>57</v>
      </c>
      <c r="C217" s="5" t="s">
        <v>382</v>
      </c>
      <c r="D217" s="6">
        <v>45423.0</v>
      </c>
      <c r="E217" s="3"/>
      <c r="F217" s="3">
        <v>132218.0</v>
      </c>
      <c r="G217" s="3">
        <v>0.0</v>
      </c>
      <c r="H217" s="3">
        <v>11900.0</v>
      </c>
      <c r="I217" s="3">
        <v>11900.0</v>
      </c>
      <c r="J217" s="7">
        <f t="shared" si="1"/>
        <v>23800</v>
      </c>
      <c r="K217" s="3"/>
      <c r="L217" s="3" t="str">
        <f t="shared" si="2"/>
        <v>27AAACB2900K1ZZ-4320292833-11052024</v>
      </c>
      <c r="M217" s="8">
        <f t="shared" si="7"/>
        <v>18.00057481</v>
      </c>
      <c r="N217" s="3" t="str">
        <f t="shared" si="4"/>
        <v/>
      </c>
      <c r="O217" s="9" t="str">
        <f t="shared" si="5"/>
        <v/>
      </c>
      <c r="P217" s="3" t="str">
        <f t="shared" si="6"/>
        <v/>
      </c>
      <c r="Q217" s="3"/>
    </row>
    <row r="218" ht="15.75" customHeight="1">
      <c r="A218" s="4" t="s">
        <v>56</v>
      </c>
      <c r="B218" s="5" t="s">
        <v>57</v>
      </c>
      <c r="C218" s="5" t="s">
        <v>383</v>
      </c>
      <c r="D218" s="6">
        <v>45423.0</v>
      </c>
      <c r="E218" s="3"/>
      <c r="F218" s="3">
        <v>150660.0</v>
      </c>
      <c r="G218" s="3">
        <v>0.0</v>
      </c>
      <c r="H218" s="3">
        <v>13559.0</v>
      </c>
      <c r="I218" s="3">
        <v>13559.0</v>
      </c>
      <c r="J218" s="7">
        <f t="shared" si="1"/>
        <v>27118</v>
      </c>
      <c r="K218" s="3"/>
      <c r="L218" s="3" t="str">
        <f t="shared" si="2"/>
        <v>27AAACB2900K1ZZ-4320292837-11052024</v>
      </c>
      <c r="M218" s="8">
        <f t="shared" si="7"/>
        <v>17.999469</v>
      </c>
      <c r="N218" s="3" t="str">
        <f t="shared" si="4"/>
        <v/>
      </c>
      <c r="O218" s="9" t="str">
        <f t="shared" si="5"/>
        <v/>
      </c>
      <c r="P218" s="3" t="str">
        <f t="shared" si="6"/>
        <v/>
      </c>
      <c r="Q218" s="3"/>
    </row>
    <row r="219" ht="15.75" customHeight="1">
      <c r="A219" s="4" t="s">
        <v>56</v>
      </c>
      <c r="B219" s="5" t="s">
        <v>57</v>
      </c>
      <c r="C219" s="5" t="s">
        <v>384</v>
      </c>
      <c r="D219" s="6">
        <v>45423.0</v>
      </c>
      <c r="E219" s="3"/>
      <c r="F219" s="3">
        <v>84000.0</v>
      </c>
      <c r="G219" s="3">
        <v>0.0</v>
      </c>
      <c r="H219" s="3">
        <v>7560.0</v>
      </c>
      <c r="I219" s="3">
        <v>7560.0</v>
      </c>
      <c r="J219" s="7">
        <f t="shared" si="1"/>
        <v>15120</v>
      </c>
      <c r="K219" s="3"/>
      <c r="L219" s="3" t="str">
        <f t="shared" si="2"/>
        <v>27AAACB2900K1ZZ-4320292838-11052024</v>
      </c>
      <c r="M219" s="8">
        <f t="shared" si="7"/>
        <v>18</v>
      </c>
      <c r="N219" s="3" t="str">
        <f t="shared" si="4"/>
        <v/>
      </c>
      <c r="O219" s="9" t="str">
        <f t="shared" si="5"/>
        <v/>
      </c>
      <c r="P219" s="3" t="str">
        <f t="shared" si="6"/>
        <v/>
      </c>
      <c r="Q219" s="3"/>
    </row>
    <row r="220" ht="15.75" customHeight="1">
      <c r="A220" s="4" t="s">
        <v>56</v>
      </c>
      <c r="B220" s="5" t="s">
        <v>57</v>
      </c>
      <c r="C220" s="5" t="s">
        <v>385</v>
      </c>
      <c r="D220" s="6">
        <v>45423.0</v>
      </c>
      <c r="E220" s="3"/>
      <c r="F220" s="3">
        <v>33600.0</v>
      </c>
      <c r="G220" s="3">
        <v>0.0</v>
      </c>
      <c r="H220" s="3">
        <v>3024.0</v>
      </c>
      <c r="I220" s="3">
        <v>3024.0</v>
      </c>
      <c r="J220" s="7">
        <f t="shared" si="1"/>
        <v>6048</v>
      </c>
      <c r="K220" s="3"/>
      <c r="L220" s="3" t="str">
        <f t="shared" si="2"/>
        <v>27AAACB2900K1ZZ-4320292840-11052024</v>
      </c>
      <c r="M220" s="8">
        <f t="shared" si="7"/>
        <v>18</v>
      </c>
      <c r="N220" s="3" t="str">
        <f t="shared" si="4"/>
        <v/>
      </c>
      <c r="O220" s="9" t="str">
        <f t="shared" si="5"/>
        <v/>
      </c>
      <c r="P220" s="3" t="str">
        <f t="shared" si="6"/>
        <v/>
      </c>
      <c r="Q220" s="3"/>
    </row>
    <row r="221" ht="15.75" customHeight="1">
      <c r="A221" s="4" t="s">
        <v>56</v>
      </c>
      <c r="B221" s="5" t="s">
        <v>57</v>
      </c>
      <c r="C221" s="5" t="s">
        <v>386</v>
      </c>
      <c r="D221" s="6">
        <v>45423.0</v>
      </c>
      <c r="E221" s="3"/>
      <c r="F221" s="3">
        <v>29758.0</v>
      </c>
      <c r="G221" s="3">
        <v>0.0</v>
      </c>
      <c r="H221" s="3">
        <v>2678.0</v>
      </c>
      <c r="I221" s="3">
        <v>2678.0</v>
      </c>
      <c r="J221" s="7">
        <f t="shared" si="1"/>
        <v>5356</v>
      </c>
      <c r="K221" s="3"/>
      <c r="L221" s="3" t="str">
        <f t="shared" si="2"/>
        <v>27AAACB2900K1ZZ-4320292842-11052024</v>
      </c>
      <c r="M221" s="8">
        <f t="shared" si="7"/>
        <v>17.99852141</v>
      </c>
      <c r="N221" s="3" t="str">
        <f t="shared" si="4"/>
        <v/>
      </c>
      <c r="O221" s="9" t="str">
        <f t="shared" si="5"/>
        <v/>
      </c>
      <c r="P221" s="3" t="str">
        <f t="shared" si="6"/>
        <v/>
      </c>
      <c r="Q221" s="3"/>
    </row>
    <row r="222" ht="15.75" customHeight="1">
      <c r="A222" s="4" t="s">
        <v>56</v>
      </c>
      <c r="B222" s="5" t="s">
        <v>57</v>
      </c>
      <c r="C222" s="5" t="s">
        <v>387</v>
      </c>
      <c r="D222" s="6">
        <v>45423.0</v>
      </c>
      <c r="E222" s="3"/>
      <c r="F222" s="3">
        <v>74892.0</v>
      </c>
      <c r="G222" s="3">
        <v>0.0</v>
      </c>
      <c r="H222" s="3">
        <v>6740.0</v>
      </c>
      <c r="I222" s="3">
        <v>6740.0</v>
      </c>
      <c r="J222" s="7">
        <f t="shared" si="1"/>
        <v>13480</v>
      </c>
      <c r="K222" s="3"/>
      <c r="L222" s="3" t="str">
        <f t="shared" si="2"/>
        <v>27AAACB2900K1ZZ-4320292843-11052024</v>
      </c>
      <c r="M222" s="8">
        <f t="shared" si="7"/>
        <v>17.99925226</v>
      </c>
      <c r="N222" s="3" t="str">
        <f t="shared" si="4"/>
        <v/>
      </c>
      <c r="O222" s="9" t="str">
        <f t="shared" si="5"/>
        <v/>
      </c>
      <c r="P222" s="3" t="str">
        <f t="shared" si="6"/>
        <v/>
      </c>
      <c r="Q222" s="3"/>
    </row>
    <row r="223" ht="15.75" customHeight="1">
      <c r="A223" s="4" t="s">
        <v>388</v>
      </c>
      <c r="B223" s="5" t="s">
        <v>389</v>
      </c>
      <c r="C223" s="5" t="s">
        <v>390</v>
      </c>
      <c r="D223" s="6">
        <v>45423.0</v>
      </c>
      <c r="E223" s="3"/>
      <c r="F223" s="3">
        <v>412096.0</v>
      </c>
      <c r="G223" s="3">
        <v>0.0</v>
      </c>
      <c r="H223" s="3">
        <v>37088.64</v>
      </c>
      <c r="I223" s="3">
        <v>37088.64</v>
      </c>
      <c r="J223" s="7">
        <f t="shared" si="1"/>
        <v>74177.28</v>
      </c>
      <c r="K223" s="3"/>
      <c r="L223" s="3" t="str">
        <f t="shared" si="2"/>
        <v>27AAKFS9902P1ZC-SALES/2425/0454-11052024</v>
      </c>
      <c r="M223" s="8">
        <f t="shared" si="7"/>
        <v>18</v>
      </c>
      <c r="N223" s="3" t="str">
        <f t="shared" si="4"/>
        <v/>
      </c>
      <c r="O223" s="9" t="str">
        <f t="shared" si="5"/>
        <v/>
      </c>
      <c r="P223" s="3" t="str">
        <f t="shared" si="6"/>
        <v/>
      </c>
      <c r="Q223" s="3"/>
    </row>
    <row r="224" ht="15.75" customHeight="1">
      <c r="A224" s="4" t="s">
        <v>391</v>
      </c>
      <c r="B224" s="5" t="s">
        <v>392</v>
      </c>
      <c r="C224" s="5" t="s">
        <v>393</v>
      </c>
      <c r="D224" s="6">
        <v>45423.0</v>
      </c>
      <c r="E224" s="3"/>
      <c r="F224" s="3">
        <v>7200.0</v>
      </c>
      <c r="G224" s="3">
        <v>8496.0</v>
      </c>
      <c r="H224" s="3">
        <v>0.0</v>
      </c>
      <c r="I224" s="3">
        <v>0.0</v>
      </c>
      <c r="J224" s="7">
        <f t="shared" si="1"/>
        <v>8496</v>
      </c>
      <c r="K224" s="3"/>
      <c r="L224" s="3" t="str">
        <f t="shared" si="2"/>
        <v>19AABCF3057A1Z2-FEPL/0164/24-25-11052024</v>
      </c>
      <c r="M224" s="8">
        <f t="shared" si="7"/>
        <v>118</v>
      </c>
      <c r="N224" s="3" t="str">
        <f t="shared" si="4"/>
        <v/>
      </c>
      <c r="O224" s="9" t="str">
        <f t="shared" si="5"/>
        <v/>
      </c>
      <c r="P224" s="3" t="str">
        <f t="shared" si="6"/>
        <v/>
      </c>
      <c r="Q224" s="3"/>
    </row>
    <row r="225" ht="15.75" customHeight="1">
      <c r="A225" s="4" t="s">
        <v>391</v>
      </c>
      <c r="B225" s="5" t="s">
        <v>392</v>
      </c>
      <c r="C225" s="5" t="s">
        <v>394</v>
      </c>
      <c r="D225" s="6">
        <v>45423.0</v>
      </c>
      <c r="E225" s="3"/>
      <c r="F225" s="3">
        <v>4725.0</v>
      </c>
      <c r="G225" s="3">
        <v>5575.5</v>
      </c>
      <c r="H225" s="3">
        <v>0.0</v>
      </c>
      <c r="I225" s="3">
        <v>0.0</v>
      </c>
      <c r="J225" s="7">
        <f t="shared" si="1"/>
        <v>5575.5</v>
      </c>
      <c r="K225" s="3"/>
      <c r="L225" s="3" t="str">
        <f t="shared" si="2"/>
        <v>19AABCF3057A1Z2-FEPL/0165/24-25-11052024</v>
      </c>
      <c r="M225" s="8">
        <f t="shared" si="7"/>
        <v>118</v>
      </c>
      <c r="N225" s="3" t="str">
        <f t="shared" si="4"/>
        <v/>
      </c>
      <c r="O225" s="9" t="str">
        <f t="shared" si="5"/>
        <v/>
      </c>
      <c r="P225" s="3" t="str">
        <f t="shared" si="6"/>
        <v/>
      </c>
      <c r="Q225" s="3"/>
    </row>
    <row r="226" ht="15.75" customHeight="1">
      <c r="A226" s="4" t="s">
        <v>56</v>
      </c>
      <c r="B226" s="5" t="s">
        <v>57</v>
      </c>
      <c r="C226" s="5" t="s">
        <v>395</v>
      </c>
      <c r="D226" s="6">
        <v>45423.0</v>
      </c>
      <c r="E226" s="3"/>
      <c r="F226" s="3">
        <v>128946.0</v>
      </c>
      <c r="G226" s="3">
        <v>0.0</v>
      </c>
      <c r="H226" s="3">
        <v>11605.0</v>
      </c>
      <c r="I226" s="3">
        <v>11605.0</v>
      </c>
      <c r="J226" s="7">
        <f t="shared" si="1"/>
        <v>23210</v>
      </c>
      <c r="K226" s="3"/>
      <c r="L226" s="3" t="str">
        <f t="shared" si="2"/>
        <v>27AAACB2900K1ZZ-4320292828-11052024</v>
      </c>
      <c r="M226" s="8">
        <f t="shared" si="7"/>
        <v>17.99978285</v>
      </c>
      <c r="N226" s="3" t="str">
        <f t="shared" si="4"/>
        <v/>
      </c>
      <c r="O226" s="9" t="str">
        <f t="shared" si="5"/>
        <v/>
      </c>
      <c r="P226" s="3" t="str">
        <f t="shared" si="6"/>
        <v/>
      </c>
      <c r="Q226" s="3"/>
    </row>
    <row r="227" ht="15.75" customHeight="1">
      <c r="A227" s="4" t="s">
        <v>56</v>
      </c>
      <c r="B227" s="5" t="s">
        <v>57</v>
      </c>
      <c r="C227" s="5" t="s">
        <v>396</v>
      </c>
      <c r="D227" s="6">
        <v>45423.0</v>
      </c>
      <c r="E227" s="3"/>
      <c r="F227" s="3">
        <v>33530.0</v>
      </c>
      <c r="G227" s="3">
        <v>0.0</v>
      </c>
      <c r="H227" s="3">
        <v>3018.0</v>
      </c>
      <c r="I227" s="3">
        <v>3018.0</v>
      </c>
      <c r="J227" s="7">
        <f t="shared" si="1"/>
        <v>6036</v>
      </c>
      <c r="K227" s="3"/>
      <c r="L227" s="3" t="str">
        <f t="shared" si="2"/>
        <v>27AAACB2900K1ZZ-4320292829-11052024</v>
      </c>
      <c r="M227" s="8">
        <f t="shared" si="7"/>
        <v>18.00178944</v>
      </c>
      <c r="N227" s="3" t="str">
        <f t="shared" si="4"/>
        <v/>
      </c>
      <c r="O227" s="9" t="str">
        <f t="shared" si="5"/>
        <v/>
      </c>
      <c r="P227" s="3" t="str">
        <f t="shared" si="6"/>
        <v/>
      </c>
      <c r="Q227" s="3"/>
    </row>
    <row r="228" ht="15.75" customHeight="1">
      <c r="A228" s="4" t="s">
        <v>56</v>
      </c>
      <c r="B228" s="5" t="s">
        <v>57</v>
      </c>
      <c r="C228" s="5" t="s">
        <v>397</v>
      </c>
      <c r="D228" s="6">
        <v>45423.0</v>
      </c>
      <c r="E228" s="3"/>
      <c r="F228" s="3">
        <v>33600.0</v>
      </c>
      <c r="G228" s="3">
        <v>0.0</v>
      </c>
      <c r="H228" s="3">
        <v>3024.0</v>
      </c>
      <c r="I228" s="3">
        <v>3024.0</v>
      </c>
      <c r="J228" s="7">
        <f t="shared" si="1"/>
        <v>6048</v>
      </c>
      <c r="K228" s="3"/>
      <c r="L228" s="3" t="str">
        <f t="shared" si="2"/>
        <v>27AAACB2900K1ZZ-4320292844-11052024</v>
      </c>
      <c r="M228" s="8">
        <f t="shared" si="7"/>
        <v>18</v>
      </c>
      <c r="N228" s="3" t="str">
        <f t="shared" si="4"/>
        <v/>
      </c>
      <c r="O228" s="9" t="str">
        <f t="shared" si="5"/>
        <v/>
      </c>
      <c r="P228" s="3" t="str">
        <f t="shared" si="6"/>
        <v/>
      </c>
      <c r="Q228" s="3"/>
    </row>
    <row r="229" ht="15.75" customHeight="1">
      <c r="A229" s="4" t="s">
        <v>56</v>
      </c>
      <c r="B229" s="5" t="s">
        <v>57</v>
      </c>
      <c r="C229" s="5" t="s">
        <v>398</v>
      </c>
      <c r="D229" s="6">
        <v>45423.0</v>
      </c>
      <c r="E229" s="3"/>
      <c r="F229" s="3">
        <v>31750.0</v>
      </c>
      <c r="G229" s="3">
        <v>0.0</v>
      </c>
      <c r="H229" s="3">
        <v>2858.0</v>
      </c>
      <c r="I229" s="3">
        <v>2858.0</v>
      </c>
      <c r="J229" s="7">
        <f t="shared" si="1"/>
        <v>5716</v>
      </c>
      <c r="K229" s="3"/>
      <c r="L229" s="3" t="str">
        <f t="shared" si="2"/>
        <v>27AAACB2900K1ZZ-4320292845-11052024</v>
      </c>
      <c r="M229" s="8">
        <f t="shared" si="7"/>
        <v>18.00314961</v>
      </c>
      <c r="N229" s="3" t="str">
        <f t="shared" si="4"/>
        <v/>
      </c>
      <c r="O229" s="9" t="str">
        <f t="shared" si="5"/>
        <v/>
      </c>
      <c r="P229" s="3" t="str">
        <f t="shared" si="6"/>
        <v/>
      </c>
      <c r="Q229" s="3"/>
    </row>
    <row r="230" ht="15.75" customHeight="1">
      <c r="A230" s="4" t="s">
        <v>56</v>
      </c>
      <c r="B230" s="5" t="s">
        <v>57</v>
      </c>
      <c r="C230" s="5" t="s">
        <v>399</v>
      </c>
      <c r="D230" s="6">
        <v>45423.0</v>
      </c>
      <c r="E230" s="3"/>
      <c r="F230" s="3">
        <v>49746.0</v>
      </c>
      <c r="G230" s="3">
        <v>0.0</v>
      </c>
      <c r="H230" s="3">
        <v>4477.0</v>
      </c>
      <c r="I230" s="3">
        <v>4477.0</v>
      </c>
      <c r="J230" s="7">
        <f t="shared" si="1"/>
        <v>8954</v>
      </c>
      <c r="K230" s="3"/>
      <c r="L230" s="3" t="str">
        <f t="shared" si="2"/>
        <v>27AAACB2900K1ZZ-4320292846-11052024</v>
      </c>
      <c r="M230" s="8">
        <f t="shared" si="7"/>
        <v>17.99943714</v>
      </c>
      <c r="N230" s="3" t="str">
        <f t="shared" si="4"/>
        <v/>
      </c>
      <c r="O230" s="9" t="str">
        <f t="shared" si="5"/>
        <v/>
      </c>
      <c r="P230" s="3" t="str">
        <f t="shared" si="6"/>
        <v/>
      </c>
      <c r="Q230" s="3"/>
    </row>
    <row r="231" ht="15.75" customHeight="1">
      <c r="A231" s="4" t="s">
        <v>56</v>
      </c>
      <c r="B231" s="5" t="s">
        <v>57</v>
      </c>
      <c r="C231" s="5" t="s">
        <v>400</v>
      </c>
      <c r="D231" s="6">
        <v>45423.0</v>
      </c>
      <c r="E231" s="3"/>
      <c r="F231" s="3">
        <v>136576.0</v>
      </c>
      <c r="G231" s="3">
        <v>0.0</v>
      </c>
      <c r="H231" s="3">
        <v>12292.0</v>
      </c>
      <c r="I231" s="3">
        <v>12292.0</v>
      </c>
      <c r="J231" s="7">
        <f t="shared" si="1"/>
        <v>24584</v>
      </c>
      <c r="K231" s="3"/>
      <c r="L231" s="3" t="str">
        <f t="shared" si="2"/>
        <v>27AAACB2900K1ZZ-4320292847-11052024</v>
      </c>
      <c r="M231" s="8">
        <f t="shared" si="7"/>
        <v>18.0002343</v>
      </c>
      <c r="N231" s="3" t="str">
        <f t="shared" si="4"/>
        <v/>
      </c>
      <c r="O231" s="9" t="str">
        <f t="shared" si="5"/>
        <v/>
      </c>
      <c r="P231" s="3" t="str">
        <f t="shared" si="6"/>
        <v/>
      </c>
      <c r="Q231" s="3"/>
    </row>
    <row r="232" ht="15.75" customHeight="1">
      <c r="A232" s="4" t="s">
        <v>313</v>
      </c>
      <c r="B232" s="5" t="s">
        <v>314</v>
      </c>
      <c r="C232" s="5" t="s">
        <v>401</v>
      </c>
      <c r="D232" s="6">
        <v>45423.0</v>
      </c>
      <c r="E232" s="3"/>
      <c r="F232" s="3">
        <v>540.0</v>
      </c>
      <c r="G232" s="3">
        <v>0.0</v>
      </c>
      <c r="H232" s="3">
        <v>48.6</v>
      </c>
      <c r="I232" s="3">
        <v>48.6</v>
      </c>
      <c r="J232" s="7">
        <f t="shared" si="1"/>
        <v>97.2</v>
      </c>
      <c r="K232" s="3"/>
      <c r="L232" s="3" t="str">
        <f t="shared" si="2"/>
        <v>27APJPP3633C1ZZ-PTS/24-25/0627-11052024</v>
      </c>
      <c r="M232" s="8">
        <f t="shared" si="7"/>
        <v>18</v>
      </c>
      <c r="N232" s="3" t="str">
        <f t="shared" si="4"/>
        <v/>
      </c>
      <c r="O232" s="9" t="str">
        <f t="shared" si="5"/>
        <v/>
      </c>
      <c r="P232" s="3" t="str">
        <f t="shared" si="6"/>
        <v/>
      </c>
      <c r="Q232" s="3"/>
    </row>
    <row r="233" ht="15.75" customHeight="1">
      <c r="A233" s="4" t="s">
        <v>25</v>
      </c>
      <c r="B233" s="5" t="s">
        <v>26</v>
      </c>
      <c r="C233" s="5" t="s">
        <v>402</v>
      </c>
      <c r="D233" s="6">
        <v>45424.0</v>
      </c>
      <c r="E233" s="3"/>
      <c r="F233" s="3">
        <v>3414.0</v>
      </c>
      <c r="G233" s="3">
        <v>0.0</v>
      </c>
      <c r="H233" s="3">
        <v>204.84</v>
      </c>
      <c r="I233" s="3">
        <v>204.84</v>
      </c>
      <c r="J233" s="7">
        <f t="shared" si="1"/>
        <v>409.68</v>
      </c>
      <c r="K233" s="3"/>
      <c r="L233" s="3" t="str">
        <f t="shared" si="2"/>
        <v>27ADJPV3549B2ZC-147/24-25-12052024</v>
      </c>
      <c r="M233" s="8">
        <f t="shared" si="7"/>
        <v>12</v>
      </c>
      <c r="N233" s="3" t="str">
        <f t="shared" si="4"/>
        <v/>
      </c>
      <c r="O233" s="9" t="str">
        <f t="shared" si="5"/>
        <v/>
      </c>
      <c r="P233" s="3" t="str">
        <f t="shared" si="6"/>
        <v/>
      </c>
      <c r="Q233" s="3"/>
    </row>
    <row r="234" ht="15.75" customHeight="1">
      <c r="A234" s="4" t="s">
        <v>129</v>
      </c>
      <c r="B234" s="5" t="s">
        <v>130</v>
      </c>
      <c r="C234" s="5" t="s">
        <v>403</v>
      </c>
      <c r="D234" s="6">
        <v>45425.0</v>
      </c>
      <c r="E234" s="3"/>
      <c r="F234" s="3">
        <v>6500.0</v>
      </c>
      <c r="G234" s="3">
        <v>0.0</v>
      </c>
      <c r="H234" s="3">
        <v>585.0</v>
      </c>
      <c r="I234" s="3">
        <v>585.0</v>
      </c>
      <c r="J234" s="7">
        <f t="shared" si="1"/>
        <v>1170</v>
      </c>
      <c r="K234" s="3"/>
      <c r="L234" s="3" t="str">
        <f t="shared" si="2"/>
        <v>27AIKPY6401D1Z5-62-13052024</v>
      </c>
      <c r="M234" s="8">
        <f t="shared" si="7"/>
        <v>18</v>
      </c>
      <c r="N234" s="3" t="str">
        <f t="shared" si="4"/>
        <v/>
      </c>
      <c r="O234" s="9" t="str">
        <f t="shared" si="5"/>
        <v/>
      </c>
      <c r="P234" s="3" t="str">
        <f t="shared" si="6"/>
        <v/>
      </c>
      <c r="Q234" s="3"/>
    </row>
    <row r="235" ht="15.75" customHeight="1">
      <c r="A235" s="4" t="s">
        <v>76</v>
      </c>
      <c r="B235" s="5" t="s">
        <v>77</v>
      </c>
      <c r="C235" s="5" t="s">
        <v>404</v>
      </c>
      <c r="D235" s="6">
        <v>45425.0</v>
      </c>
      <c r="E235" s="3"/>
      <c r="F235" s="3">
        <v>1564.65</v>
      </c>
      <c r="G235" s="3">
        <v>0.0</v>
      </c>
      <c r="H235" s="3">
        <v>140.82</v>
      </c>
      <c r="I235" s="3">
        <v>140.82</v>
      </c>
      <c r="J235" s="7">
        <f t="shared" si="1"/>
        <v>281.64</v>
      </c>
      <c r="K235" s="3"/>
      <c r="L235" s="3" t="str">
        <f t="shared" si="2"/>
        <v>27AAVFK8826F1ZP-KPAS/24-25/1188-13052024</v>
      </c>
      <c r="M235" s="8">
        <f t="shared" si="7"/>
        <v>18.00019174</v>
      </c>
      <c r="N235" s="3" t="str">
        <f t="shared" si="4"/>
        <v/>
      </c>
      <c r="O235" s="9" t="str">
        <f t="shared" si="5"/>
        <v/>
      </c>
      <c r="P235" s="3" t="str">
        <f t="shared" si="6"/>
        <v/>
      </c>
      <c r="Q235" s="3"/>
    </row>
    <row r="236" ht="15.75" customHeight="1">
      <c r="A236" s="4" t="s">
        <v>19</v>
      </c>
      <c r="B236" s="5" t="s">
        <v>20</v>
      </c>
      <c r="C236" s="5" t="s">
        <v>405</v>
      </c>
      <c r="D236" s="6">
        <v>45425.0</v>
      </c>
      <c r="E236" s="3"/>
      <c r="F236" s="3">
        <v>634.69</v>
      </c>
      <c r="G236" s="3">
        <v>0.0</v>
      </c>
      <c r="H236" s="3">
        <v>57.16</v>
      </c>
      <c r="I236" s="3">
        <v>57.16</v>
      </c>
      <c r="J236" s="7">
        <f t="shared" si="1"/>
        <v>114.32</v>
      </c>
      <c r="K236" s="3"/>
      <c r="L236" s="3" t="str">
        <f t="shared" si="2"/>
        <v>27AADCM2739E1ZL-MEPL/01527/24-25-13052024</v>
      </c>
      <c r="M236" s="8">
        <f t="shared" si="7"/>
        <v>18.01194284</v>
      </c>
      <c r="N236" s="3" t="str">
        <f t="shared" si="4"/>
        <v/>
      </c>
      <c r="O236" s="9" t="str">
        <f t="shared" si="5"/>
        <v/>
      </c>
      <c r="P236" s="3" t="str">
        <f t="shared" si="6"/>
        <v/>
      </c>
      <c r="Q236" s="3"/>
    </row>
    <row r="237" ht="15.75" customHeight="1">
      <c r="A237" s="4" t="s">
        <v>19</v>
      </c>
      <c r="B237" s="5" t="s">
        <v>20</v>
      </c>
      <c r="C237" s="5" t="s">
        <v>406</v>
      </c>
      <c r="D237" s="6">
        <v>45425.0</v>
      </c>
      <c r="E237" s="3"/>
      <c r="F237" s="3">
        <v>1270.37</v>
      </c>
      <c r="G237" s="3">
        <v>0.0</v>
      </c>
      <c r="H237" s="3">
        <v>114.31</v>
      </c>
      <c r="I237" s="3">
        <v>114.31</v>
      </c>
      <c r="J237" s="7">
        <f t="shared" si="1"/>
        <v>228.62</v>
      </c>
      <c r="K237" s="3"/>
      <c r="L237" s="3" t="str">
        <f t="shared" si="2"/>
        <v>27AADCM2739E1ZL-MEPL/01528/24-25-13052024</v>
      </c>
      <c r="M237" s="8">
        <f t="shared" si="7"/>
        <v>17.99633178</v>
      </c>
      <c r="N237" s="3" t="str">
        <f t="shared" si="4"/>
        <v/>
      </c>
      <c r="O237" s="9" t="str">
        <f t="shared" si="5"/>
        <v/>
      </c>
      <c r="P237" s="3" t="str">
        <f t="shared" si="6"/>
        <v/>
      </c>
      <c r="Q237" s="3"/>
    </row>
    <row r="238" ht="15.75" customHeight="1">
      <c r="A238" s="4" t="s">
        <v>66</v>
      </c>
      <c r="B238" s="5" t="s">
        <v>67</v>
      </c>
      <c r="C238" s="5" t="s">
        <v>407</v>
      </c>
      <c r="D238" s="6">
        <v>45425.0</v>
      </c>
      <c r="E238" s="3"/>
      <c r="F238" s="3">
        <v>3004.56</v>
      </c>
      <c r="G238" s="3">
        <v>0.0</v>
      </c>
      <c r="H238" s="3">
        <v>270.4</v>
      </c>
      <c r="I238" s="3">
        <v>270.4</v>
      </c>
      <c r="J238" s="7">
        <f t="shared" si="1"/>
        <v>540.8</v>
      </c>
      <c r="K238" s="3"/>
      <c r="L238" s="3" t="str">
        <f t="shared" si="2"/>
        <v>27AABFM0352J1ZH-56/24-25-13052024</v>
      </c>
      <c r="M238" s="8">
        <f t="shared" si="7"/>
        <v>17.99930772</v>
      </c>
      <c r="N238" s="3" t="str">
        <f t="shared" si="4"/>
        <v/>
      </c>
      <c r="O238" s="9" t="str">
        <f t="shared" si="5"/>
        <v/>
      </c>
      <c r="P238" s="3" t="str">
        <f t="shared" si="6"/>
        <v/>
      </c>
      <c r="Q238" s="3"/>
    </row>
    <row r="239" ht="15.75" customHeight="1">
      <c r="A239" s="4" t="s">
        <v>336</v>
      </c>
      <c r="B239" s="5" t="s">
        <v>337</v>
      </c>
      <c r="C239" s="5" t="s">
        <v>408</v>
      </c>
      <c r="D239" s="6">
        <v>45425.0</v>
      </c>
      <c r="E239" s="3"/>
      <c r="F239" s="3">
        <v>309696.0</v>
      </c>
      <c r="G239" s="3">
        <v>0.0</v>
      </c>
      <c r="H239" s="3">
        <v>27872.64</v>
      </c>
      <c r="I239" s="3">
        <v>27872.64</v>
      </c>
      <c r="J239" s="7">
        <f t="shared" si="1"/>
        <v>55745.28</v>
      </c>
      <c r="K239" s="3"/>
      <c r="L239" s="3" t="str">
        <f t="shared" si="2"/>
        <v>27AAACM2855Q1ZY-MH/1717/24-25-13052024</v>
      </c>
      <c r="M239" s="8">
        <f t="shared" si="7"/>
        <v>18</v>
      </c>
      <c r="N239" s="3" t="str">
        <f t="shared" si="4"/>
        <v/>
      </c>
      <c r="O239" s="9" t="str">
        <f t="shared" si="5"/>
        <v/>
      </c>
      <c r="P239" s="3" t="str">
        <f t="shared" si="6"/>
        <v/>
      </c>
      <c r="Q239" s="3"/>
    </row>
    <row r="240" ht="15.75" customHeight="1">
      <c r="A240" s="4" t="s">
        <v>336</v>
      </c>
      <c r="B240" s="5" t="s">
        <v>337</v>
      </c>
      <c r="C240" s="5" t="s">
        <v>409</v>
      </c>
      <c r="D240" s="6">
        <v>45425.0</v>
      </c>
      <c r="E240" s="3"/>
      <c r="F240" s="3">
        <v>53268.0</v>
      </c>
      <c r="G240" s="3">
        <v>0.0</v>
      </c>
      <c r="H240" s="3">
        <v>4794.12</v>
      </c>
      <c r="I240" s="3">
        <v>4794.12</v>
      </c>
      <c r="J240" s="7">
        <f t="shared" si="1"/>
        <v>9588.24</v>
      </c>
      <c r="K240" s="3"/>
      <c r="L240" s="3" t="str">
        <f t="shared" si="2"/>
        <v>27AAACM2855Q1ZY-MH/1693/24-25-13052024</v>
      </c>
      <c r="M240" s="8">
        <f t="shared" si="7"/>
        <v>18</v>
      </c>
      <c r="N240" s="3" t="str">
        <f t="shared" si="4"/>
        <v/>
      </c>
      <c r="O240" s="9" t="str">
        <f t="shared" si="5"/>
        <v/>
      </c>
      <c r="P240" s="3" t="str">
        <f t="shared" si="6"/>
        <v/>
      </c>
      <c r="Q240" s="3"/>
    </row>
    <row r="241" ht="15.75" customHeight="1">
      <c r="A241" s="4" t="s">
        <v>154</v>
      </c>
      <c r="B241" s="5" t="s">
        <v>155</v>
      </c>
      <c r="C241" s="5" t="s">
        <v>410</v>
      </c>
      <c r="D241" s="6">
        <v>45425.0</v>
      </c>
      <c r="E241" s="3"/>
      <c r="F241" s="3">
        <v>105514.75</v>
      </c>
      <c r="G241" s="3">
        <v>0.0</v>
      </c>
      <c r="H241" s="3">
        <v>9496.33</v>
      </c>
      <c r="I241" s="3">
        <v>9496.33</v>
      </c>
      <c r="J241" s="7">
        <f t="shared" si="1"/>
        <v>18992.66</v>
      </c>
      <c r="K241" s="3"/>
      <c r="L241" s="3" t="str">
        <f t="shared" si="2"/>
        <v>27AACFE6426A1ZW-250333-13052024</v>
      </c>
      <c r="M241" s="8">
        <f t="shared" si="7"/>
        <v>18.00000474</v>
      </c>
      <c r="N241" s="3" t="str">
        <f t="shared" si="4"/>
        <v/>
      </c>
      <c r="O241" s="9" t="str">
        <f t="shared" si="5"/>
        <v/>
      </c>
      <c r="P241" s="3" t="str">
        <f t="shared" si="6"/>
        <v/>
      </c>
      <c r="Q241" s="3"/>
    </row>
    <row r="242" ht="15.75" customHeight="1">
      <c r="A242" s="4" t="s">
        <v>44</v>
      </c>
      <c r="B242" s="5" t="s">
        <v>45</v>
      </c>
      <c r="C242" s="5" t="s">
        <v>411</v>
      </c>
      <c r="D242" s="6">
        <v>45425.0</v>
      </c>
      <c r="E242" s="3"/>
      <c r="F242" s="3">
        <v>50983.95</v>
      </c>
      <c r="G242" s="3">
        <v>0.0</v>
      </c>
      <c r="H242" s="3">
        <v>4588.54</v>
      </c>
      <c r="I242" s="3">
        <v>4588.54</v>
      </c>
      <c r="J242" s="7">
        <f t="shared" si="1"/>
        <v>9177.08</v>
      </c>
      <c r="K242" s="3"/>
      <c r="L242" s="3" t="str">
        <f t="shared" si="2"/>
        <v>27BAEPA9590G1ZL-BWND/24-25/379-13052024</v>
      </c>
      <c r="M242" s="8">
        <f t="shared" si="7"/>
        <v>17.9999392</v>
      </c>
      <c r="N242" s="3" t="str">
        <f t="shared" si="4"/>
        <v/>
      </c>
      <c r="O242" s="9" t="str">
        <f t="shared" si="5"/>
        <v/>
      </c>
      <c r="P242" s="3" t="str">
        <f t="shared" si="6"/>
        <v/>
      </c>
      <c r="Q242" s="3"/>
    </row>
    <row r="243" ht="15.75" customHeight="1">
      <c r="A243" s="4" t="s">
        <v>66</v>
      </c>
      <c r="B243" s="5" t="s">
        <v>67</v>
      </c>
      <c r="C243" s="5" t="s">
        <v>412</v>
      </c>
      <c r="D243" s="6">
        <v>45425.0</v>
      </c>
      <c r="E243" s="3"/>
      <c r="F243" s="3">
        <v>13816.8</v>
      </c>
      <c r="G243" s="3">
        <v>0.0</v>
      </c>
      <c r="H243" s="3">
        <v>1243.51</v>
      </c>
      <c r="I243" s="3">
        <v>1243.51</v>
      </c>
      <c r="J243" s="7">
        <f t="shared" si="1"/>
        <v>2487.02</v>
      </c>
      <c r="K243" s="3"/>
      <c r="L243" s="3" t="str">
        <f t="shared" si="2"/>
        <v>27AABFM0352J1ZH-54/24-25-13052024</v>
      </c>
      <c r="M243" s="8">
        <f t="shared" si="7"/>
        <v>17.99997105</v>
      </c>
      <c r="N243" s="3" t="str">
        <f t="shared" si="4"/>
        <v/>
      </c>
      <c r="O243" s="9" t="str">
        <f t="shared" si="5"/>
        <v/>
      </c>
      <c r="P243" s="3" t="str">
        <f t="shared" si="6"/>
        <v/>
      </c>
      <c r="Q243" s="3"/>
    </row>
    <row r="244" ht="15.75" customHeight="1">
      <c r="A244" s="4" t="s">
        <v>145</v>
      </c>
      <c r="B244" s="5" t="s">
        <v>146</v>
      </c>
      <c r="C244" s="5" t="s">
        <v>413</v>
      </c>
      <c r="D244" s="6">
        <v>45425.0</v>
      </c>
      <c r="E244" s="3"/>
      <c r="F244" s="3">
        <v>7000.0</v>
      </c>
      <c r="G244" s="3">
        <v>0.0</v>
      </c>
      <c r="H244" s="3">
        <v>630.0</v>
      </c>
      <c r="I244" s="3">
        <v>630.0</v>
      </c>
      <c r="J244" s="7">
        <f t="shared" si="1"/>
        <v>1260</v>
      </c>
      <c r="K244" s="3"/>
      <c r="L244" s="3" t="str">
        <f t="shared" si="2"/>
        <v>27BCJPS9427F1Z4-1978/24-25-13052024</v>
      </c>
      <c r="M244" s="8">
        <f t="shared" si="7"/>
        <v>18</v>
      </c>
      <c r="N244" s="3" t="str">
        <f t="shared" si="4"/>
        <v/>
      </c>
      <c r="O244" s="9" t="str">
        <f t="shared" si="5"/>
        <v/>
      </c>
      <c r="P244" s="3" t="str">
        <f t="shared" si="6"/>
        <v/>
      </c>
      <c r="Q244" s="3"/>
    </row>
    <row r="245" ht="15.75" customHeight="1">
      <c r="A245" s="4" t="s">
        <v>69</v>
      </c>
      <c r="B245" s="5" t="s">
        <v>70</v>
      </c>
      <c r="C245" s="5" t="s">
        <v>414</v>
      </c>
      <c r="D245" s="6">
        <v>45426.0</v>
      </c>
      <c r="E245" s="3"/>
      <c r="F245" s="3">
        <v>6490.8</v>
      </c>
      <c r="G245" s="3">
        <v>0.0</v>
      </c>
      <c r="H245" s="3">
        <v>584.17</v>
      </c>
      <c r="I245" s="3">
        <v>584.17</v>
      </c>
      <c r="J245" s="7">
        <f t="shared" si="1"/>
        <v>1168.34</v>
      </c>
      <c r="K245" s="3"/>
      <c r="L245" s="3" t="str">
        <f t="shared" si="2"/>
        <v>27AAEFR8996A1ZU-699/24-25-14052024</v>
      </c>
      <c r="M245" s="8">
        <f t="shared" si="7"/>
        <v>17.99993837</v>
      </c>
      <c r="N245" s="3" t="str">
        <f t="shared" si="4"/>
        <v/>
      </c>
      <c r="O245" s="9" t="str">
        <f t="shared" si="5"/>
        <v/>
      </c>
      <c r="P245" s="3" t="str">
        <f t="shared" si="6"/>
        <v/>
      </c>
      <c r="Q245" s="3"/>
    </row>
    <row r="246" ht="15.75" customHeight="1">
      <c r="A246" s="4" t="s">
        <v>56</v>
      </c>
      <c r="B246" s="5" t="s">
        <v>57</v>
      </c>
      <c r="C246" s="5" t="s">
        <v>415</v>
      </c>
      <c r="D246" s="6">
        <v>45426.0</v>
      </c>
      <c r="E246" s="3"/>
      <c r="F246" s="3">
        <v>116642.0</v>
      </c>
      <c r="G246" s="3">
        <v>0.0</v>
      </c>
      <c r="H246" s="3">
        <v>10498.0</v>
      </c>
      <c r="I246" s="3">
        <v>10498.0</v>
      </c>
      <c r="J246" s="7">
        <f t="shared" si="1"/>
        <v>20996</v>
      </c>
      <c r="K246" s="3"/>
      <c r="L246" s="3" t="str">
        <f t="shared" si="2"/>
        <v>27AAACB2900K1ZZ-4320293063-14052024</v>
      </c>
      <c r="M246" s="8">
        <f t="shared" si="7"/>
        <v>18.00037722</v>
      </c>
      <c r="N246" s="3" t="str">
        <f t="shared" si="4"/>
        <v/>
      </c>
      <c r="O246" s="9" t="str">
        <f t="shared" si="5"/>
        <v/>
      </c>
      <c r="P246" s="3" t="str">
        <f t="shared" si="6"/>
        <v/>
      </c>
      <c r="Q246" s="3"/>
    </row>
    <row r="247" ht="15.75" customHeight="1">
      <c r="A247" s="4" t="s">
        <v>56</v>
      </c>
      <c r="B247" s="5" t="s">
        <v>57</v>
      </c>
      <c r="C247" s="5" t="s">
        <v>416</v>
      </c>
      <c r="D247" s="6">
        <v>45426.0</v>
      </c>
      <c r="E247" s="3"/>
      <c r="F247" s="3">
        <v>128946.0</v>
      </c>
      <c r="G247" s="3">
        <v>0.0</v>
      </c>
      <c r="H247" s="3">
        <v>11605.0</v>
      </c>
      <c r="I247" s="3">
        <v>11605.0</v>
      </c>
      <c r="J247" s="7">
        <f t="shared" si="1"/>
        <v>23210</v>
      </c>
      <c r="K247" s="3"/>
      <c r="L247" s="3" t="str">
        <f t="shared" si="2"/>
        <v>27AAACB2900K1ZZ-4320293066-14052024</v>
      </c>
      <c r="M247" s="8">
        <f t="shared" si="7"/>
        <v>17.99978285</v>
      </c>
      <c r="N247" s="3" t="str">
        <f t="shared" si="4"/>
        <v/>
      </c>
      <c r="O247" s="9" t="str">
        <f t="shared" si="5"/>
        <v/>
      </c>
      <c r="P247" s="3" t="str">
        <f t="shared" si="6"/>
        <v/>
      </c>
      <c r="Q247" s="3"/>
    </row>
    <row r="248" ht="15.75" customHeight="1">
      <c r="A248" s="4" t="s">
        <v>56</v>
      </c>
      <c r="B248" s="5" t="s">
        <v>57</v>
      </c>
      <c r="C248" s="5" t="s">
        <v>417</v>
      </c>
      <c r="D248" s="6">
        <v>45426.0</v>
      </c>
      <c r="E248" s="3"/>
      <c r="F248" s="3">
        <v>5514.0</v>
      </c>
      <c r="G248" s="3">
        <v>0.0</v>
      </c>
      <c r="H248" s="3">
        <v>496.0</v>
      </c>
      <c r="I248" s="3">
        <v>496.0</v>
      </c>
      <c r="J248" s="7">
        <f t="shared" si="1"/>
        <v>992</v>
      </c>
      <c r="K248" s="3"/>
      <c r="L248" s="3" t="str">
        <f t="shared" si="2"/>
        <v>27AAACB2900K1ZZ-4320293079-14052024</v>
      </c>
      <c r="M248" s="8">
        <f t="shared" si="7"/>
        <v>17.99056946</v>
      </c>
      <c r="N248" s="3" t="str">
        <f t="shared" si="4"/>
        <v/>
      </c>
      <c r="O248" s="9" t="str">
        <f t="shared" si="5"/>
        <v/>
      </c>
      <c r="P248" s="3" t="str">
        <f t="shared" si="6"/>
        <v/>
      </c>
      <c r="Q248" s="3"/>
    </row>
    <row r="249" ht="15.75" customHeight="1">
      <c r="A249" s="4" t="s">
        <v>56</v>
      </c>
      <c r="B249" s="5" t="s">
        <v>57</v>
      </c>
      <c r="C249" s="5" t="s">
        <v>418</v>
      </c>
      <c r="D249" s="6">
        <v>45426.0</v>
      </c>
      <c r="E249" s="3"/>
      <c r="F249" s="3">
        <v>39792.0</v>
      </c>
      <c r="G249" s="3">
        <v>0.0</v>
      </c>
      <c r="H249" s="3">
        <v>3581.0</v>
      </c>
      <c r="I249" s="3">
        <v>3581.0</v>
      </c>
      <c r="J249" s="7">
        <f t="shared" si="1"/>
        <v>7162</v>
      </c>
      <c r="K249" s="3"/>
      <c r="L249" s="3" t="str">
        <f t="shared" si="2"/>
        <v>27AAACB2900K1ZZ-4320293082-14052024</v>
      </c>
      <c r="M249" s="8">
        <f t="shared" si="7"/>
        <v>17.99859268</v>
      </c>
      <c r="N249" s="3" t="str">
        <f t="shared" si="4"/>
        <v/>
      </c>
      <c r="O249" s="9" t="str">
        <f t="shared" si="5"/>
        <v/>
      </c>
      <c r="P249" s="3" t="str">
        <f t="shared" si="6"/>
        <v/>
      </c>
      <c r="Q249" s="3"/>
    </row>
    <row r="250" ht="15.75" customHeight="1">
      <c r="A250" s="4" t="s">
        <v>56</v>
      </c>
      <c r="B250" s="5" t="s">
        <v>57</v>
      </c>
      <c r="C250" s="5" t="s">
        <v>419</v>
      </c>
      <c r="D250" s="6">
        <v>45426.0</v>
      </c>
      <c r="E250" s="3"/>
      <c r="F250" s="3">
        <v>146060.0</v>
      </c>
      <c r="G250" s="3">
        <v>0.0</v>
      </c>
      <c r="H250" s="3">
        <v>13145.0</v>
      </c>
      <c r="I250" s="3">
        <v>13145.0</v>
      </c>
      <c r="J250" s="7">
        <f t="shared" si="1"/>
        <v>26290</v>
      </c>
      <c r="K250" s="3"/>
      <c r="L250" s="3" t="str">
        <f t="shared" si="2"/>
        <v>27AAACB2900K1ZZ-4320293083-14052024</v>
      </c>
      <c r="M250" s="8">
        <f t="shared" si="7"/>
        <v>17.99945228</v>
      </c>
      <c r="N250" s="3" t="str">
        <f t="shared" si="4"/>
        <v/>
      </c>
      <c r="O250" s="9" t="str">
        <f t="shared" si="5"/>
        <v/>
      </c>
      <c r="P250" s="3" t="str">
        <f t="shared" si="6"/>
        <v/>
      </c>
      <c r="Q250" s="3"/>
    </row>
    <row r="251" ht="15.75" customHeight="1">
      <c r="A251" s="4" t="s">
        <v>56</v>
      </c>
      <c r="B251" s="5" t="s">
        <v>57</v>
      </c>
      <c r="C251" s="5" t="s">
        <v>420</v>
      </c>
      <c r="D251" s="6">
        <v>45426.0</v>
      </c>
      <c r="E251" s="3"/>
      <c r="F251" s="3">
        <v>31750.0</v>
      </c>
      <c r="G251" s="3">
        <v>0.0</v>
      </c>
      <c r="H251" s="3">
        <v>2858.0</v>
      </c>
      <c r="I251" s="3">
        <v>2858.0</v>
      </c>
      <c r="J251" s="7">
        <f t="shared" si="1"/>
        <v>5716</v>
      </c>
      <c r="K251" s="3"/>
      <c r="L251" s="3" t="str">
        <f t="shared" si="2"/>
        <v>27AAACB2900K1ZZ-4320293084-14052024</v>
      </c>
      <c r="M251" s="8">
        <f t="shared" si="7"/>
        <v>18.00314961</v>
      </c>
      <c r="N251" s="3" t="str">
        <f t="shared" si="4"/>
        <v/>
      </c>
      <c r="O251" s="9" t="str">
        <f t="shared" si="5"/>
        <v/>
      </c>
      <c r="P251" s="3" t="str">
        <f t="shared" si="6"/>
        <v/>
      </c>
      <c r="Q251" s="3"/>
    </row>
    <row r="252" ht="15.75" customHeight="1">
      <c r="A252" s="4" t="s">
        <v>56</v>
      </c>
      <c r="B252" s="5" t="s">
        <v>57</v>
      </c>
      <c r="C252" s="5" t="s">
        <v>421</v>
      </c>
      <c r="D252" s="6">
        <v>45426.0</v>
      </c>
      <c r="E252" s="3"/>
      <c r="F252" s="3">
        <v>11656.0</v>
      </c>
      <c r="G252" s="3">
        <v>0.0</v>
      </c>
      <c r="H252" s="3">
        <v>1049.0</v>
      </c>
      <c r="I252" s="3">
        <v>1049.0</v>
      </c>
      <c r="J252" s="7">
        <f t="shared" si="1"/>
        <v>2098</v>
      </c>
      <c r="K252" s="3"/>
      <c r="L252" s="3" t="str">
        <f t="shared" si="2"/>
        <v>27AAACB2900K1ZZ-4320293085-14052024</v>
      </c>
      <c r="M252" s="8">
        <f t="shared" si="7"/>
        <v>17.99931366</v>
      </c>
      <c r="N252" s="3" t="str">
        <f t="shared" si="4"/>
        <v/>
      </c>
      <c r="O252" s="9" t="str">
        <f t="shared" si="5"/>
        <v/>
      </c>
      <c r="P252" s="3" t="str">
        <f t="shared" si="6"/>
        <v/>
      </c>
      <c r="Q252" s="3"/>
    </row>
    <row r="253" ht="15.75" customHeight="1">
      <c r="A253" s="4" t="s">
        <v>336</v>
      </c>
      <c r="B253" s="5" t="s">
        <v>337</v>
      </c>
      <c r="C253" s="5" t="s">
        <v>422</v>
      </c>
      <c r="D253" s="6">
        <v>45426.0</v>
      </c>
      <c r="E253" s="3"/>
      <c r="F253" s="3">
        <v>254878.0</v>
      </c>
      <c r="G253" s="3">
        <v>0.0</v>
      </c>
      <c r="H253" s="3">
        <v>22939.02</v>
      </c>
      <c r="I253" s="3">
        <v>22939.02</v>
      </c>
      <c r="J253" s="7">
        <f t="shared" si="1"/>
        <v>45878.04</v>
      </c>
      <c r="K253" s="3"/>
      <c r="L253" s="3" t="str">
        <f t="shared" si="2"/>
        <v>27AAACM2855Q1ZY-MH/1773/24-25-14052024</v>
      </c>
      <c r="M253" s="8">
        <f t="shared" si="7"/>
        <v>18</v>
      </c>
      <c r="N253" s="3" t="str">
        <f t="shared" si="4"/>
        <v/>
      </c>
      <c r="O253" s="9" t="str">
        <f t="shared" si="5"/>
        <v/>
      </c>
      <c r="P253" s="3" t="str">
        <f t="shared" si="6"/>
        <v/>
      </c>
      <c r="Q253" s="3"/>
    </row>
    <row r="254" ht="15.75" customHeight="1">
      <c r="A254" s="4" t="s">
        <v>423</v>
      </c>
      <c r="B254" s="5" t="s">
        <v>424</v>
      </c>
      <c r="C254" s="5" t="s">
        <v>425</v>
      </c>
      <c r="D254" s="6">
        <v>45426.0</v>
      </c>
      <c r="E254" s="3"/>
      <c r="F254" s="3">
        <v>77962.5</v>
      </c>
      <c r="G254" s="3">
        <v>0.0</v>
      </c>
      <c r="H254" s="3">
        <v>7016.63</v>
      </c>
      <c r="I254" s="3">
        <v>7016.63</v>
      </c>
      <c r="J254" s="7">
        <f t="shared" si="1"/>
        <v>14033.26</v>
      </c>
      <c r="K254" s="3"/>
      <c r="L254" s="3" t="str">
        <f t="shared" si="2"/>
        <v>27AAICS2744L1ZY-138/2024-25-14052024</v>
      </c>
      <c r="M254" s="8">
        <f t="shared" si="7"/>
        <v>18.00001283</v>
      </c>
      <c r="N254" s="3" t="str">
        <f t="shared" si="4"/>
        <v/>
      </c>
      <c r="O254" s="9" t="str">
        <f t="shared" si="5"/>
        <v/>
      </c>
      <c r="P254" s="3" t="str">
        <f t="shared" si="6"/>
        <v/>
      </c>
      <c r="Q254" s="3"/>
    </row>
    <row r="255" ht="15.75" customHeight="1">
      <c r="A255" s="4" t="s">
        <v>47</v>
      </c>
      <c r="B255" s="5" t="s">
        <v>48</v>
      </c>
      <c r="C255" s="5" t="s">
        <v>426</v>
      </c>
      <c r="D255" s="6">
        <v>45426.0</v>
      </c>
      <c r="E255" s="3"/>
      <c r="F255" s="3">
        <v>94772.25</v>
      </c>
      <c r="G255" s="3">
        <v>0.0</v>
      </c>
      <c r="H255" s="3">
        <v>8529.5</v>
      </c>
      <c r="I255" s="3">
        <v>8529.5</v>
      </c>
      <c r="J255" s="7">
        <f t="shared" si="1"/>
        <v>17059</v>
      </c>
      <c r="K255" s="3"/>
      <c r="L255" s="3" t="str">
        <f t="shared" si="2"/>
        <v>27AAAFM2359N1ZZ-7825-14052024</v>
      </c>
      <c r="M255" s="8">
        <f t="shared" si="7"/>
        <v>17.99999472</v>
      </c>
      <c r="N255" s="3" t="str">
        <f t="shared" si="4"/>
        <v/>
      </c>
      <c r="O255" s="9" t="str">
        <f t="shared" si="5"/>
        <v/>
      </c>
      <c r="P255" s="3" t="str">
        <f t="shared" si="6"/>
        <v/>
      </c>
      <c r="Q255" s="3"/>
    </row>
    <row r="256" ht="15.75" customHeight="1">
      <c r="A256" s="4" t="s">
        <v>41</v>
      </c>
      <c r="B256" s="5" t="s">
        <v>42</v>
      </c>
      <c r="C256" s="5" t="s">
        <v>427</v>
      </c>
      <c r="D256" s="6">
        <v>45426.0</v>
      </c>
      <c r="E256" s="3"/>
      <c r="F256" s="3">
        <v>682.5</v>
      </c>
      <c r="G256" s="3">
        <v>0.0</v>
      </c>
      <c r="H256" s="3">
        <v>61.43</v>
      </c>
      <c r="I256" s="3">
        <v>61.43</v>
      </c>
      <c r="J256" s="7">
        <f t="shared" si="1"/>
        <v>122.86</v>
      </c>
      <c r="K256" s="3"/>
      <c r="L256" s="3" t="str">
        <f t="shared" si="2"/>
        <v>27AACCA4768Q1Z0-316-14052024</v>
      </c>
      <c r="M256" s="8">
        <f t="shared" si="7"/>
        <v>18.0014652</v>
      </c>
      <c r="N256" s="3" t="str">
        <f t="shared" si="4"/>
        <v/>
      </c>
      <c r="O256" s="9" t="str">
        <f t="shared" si="5"/>
        <v/>
      </c>
      <c r="P256" s="3" t="str">
        <f t="shared" si="6"/>
        <v/>
      </c>
      <c r="Q256" s="3"/>
    </row>
    <row r="257" ht="15.75" customHeight="1">
      <c r="A257" s="4" t="s">
        <v>56</v>
      </c>
      <c r="B257" s="5" t="s">
        <v>57</v>
      </c>
      <c r="C257" s="5" t="s">
        <v>428</v>
      </c>
      <c r="D257" s="6">
        <v>45426.0</v>
      </c>
      <c r="E257" s="3"/>
      <c r="F257" s="3">
        <v>49550.0</v>
      </c>
      <c r="G257" s="3">
        <v>0.0</v>
      </c>
      <c r="H257" s="3">
        <v>4460.0</v>
      </c>
      <c r="I257" s="3">
        <v>4460.0</v>
      </c>
      <c r="J257" s="7">
        <f t="shared" si="1"/>
        <v>8920</v>
      </c>
      <c r="K257" s="3"/>
      <c r="L257" s="3" t="str">
        <f t="shared" si="2"/>
        <v>27AAACB2900K1ZZ-4320293071-14052024</v>
      </c>
      <c r="M257" s="8">
        <f t="shared" si="7"/>
        <v>18.00201816</v>
      </c>
      <c r="N257" s="3" t="str">
        <f t="shared" si="4"/>
        <v/>
      </c>
      <c r="O257" s="9" t="str">
        <f t="shared" si="5"/>
        <v/>
      </c>
      <c r="P257" s="3" t="str">
        <f t="shared" si="6"/>
        <v/>
      </c>
      <c r="Q257" s="3"/>
    </row>
    <row r="258" ht="15.75" customHeight="1">
      <c r="A258" s="4" t="s">
        <v>56</v>
      </c>
      <c r="B258" s="5" t="s">
        <v>57</v>
      </c>
      <c r="C258" s="5" t="s">
        <v>429</v>
      </c>
      <c r="D258" s="6">
        <v>45426.0</v>
      </c>
      <c r="E258" s="3"/>
      <c r="F258" s="3">
        <v>53210.0</v>
      </c>
      <c r="G258" s="3">
        <v>0.0</v>
      </c>
      <c r="H258" s="3">
        <v>4789.0</v>
      </c>
      <c r="I258" s="3">
        <v>4789.0</v>
      </c>
      <c r="J258" s="7">
        <f t="shared" si="1"/>
        <v>9578</v>
      </c>
      <c r="K258" s="3"/>
      <c r="L258" s="3" t="str">
        <f t="shared" si="2"/>
        <v>27AAACB2900K1ZZ-4320293073-14052024</v>
      </c>
      <c r="M258" s="8">
        <f t="shared" si="7"/>
        <v>18.00037587</v>
      </c>
      <c r="N258" s="3" t="str">
        <f t="shared" si="4"/>
        <v/>
      </c>
      <c r="O258" s="9" t="str">
        <f t="shared" si="5"/>
        <v/>
      </c>
      <c r="P258" s="3" t="str">
        <f t="shared" si="6"/>
        <v/>
      </c>
      <c r="Q258" s="3"/>
    </row>
    <row r="259" ht="15.75" customHeight="1">
      <c r="A259" s="4" t="s">
        <v>56</v>
      </c>
      <c r="B259" s="5" t="s">
        <v>57</v>
      </c>
      <c r="C259" s="5" t="s">
        <v>430</v>
      </c>
      <c r="D259" s="6">
        <v>45426.0</v>
      </c>
      <c r="E259" s="3"/>
      <c r="F259" s="3">
        <v>132108.0</v>
      </c>
      <c r="G259" s="3">
        <v>0.0</v>
      </c>
      <c r="H259" s="3">
        <v>11890.0</v>
      </c>
      <c r="I259" s="3">
        <v>11890.0</v>
      </c>
      <c r="J259" s="7">
        <f t="shared" si="1"/>
        <v>23780</v>
      </c>
      <c r="K259" s="3"/>
      <c r="L259" s="3" t="str">
        <f t="shared" si="2"/>
        <v>27AAACB2900K1ZZ-4320293075-14052024</v>
      </c>
      <c r="M259" s="8">
        <f t="shared" si="7"/>
        <v>18.0004239</v>
      </c>
      <c r="N259" s="3" t="str">
        <f t="shared" si="4"/>
        <v/>
      </c>
      <c r="O259" s="9" t="str">
        <f t="shared" si="5"/>
        <v/>
      </c>
      <c r="P259" s="3" t="str">
        <f t="shared" si="6"/>
        <v/>
      </c>
      <c r="Q259" s="3"/>
    </row>
    <row r="260" ht="15.75" customHeight="1">
      <c r="A260" s="4" t="s">
        <v>431</v>
      </c>
      <c r="B260" s="5" t="s">
        <v>432</v>
      </c>
      <c r="C260" s="5" t="s">
        <v>433</v>
      </c>
      <c r="D260" s="6">
        <v>45427.0</v>
      </c>
      <c r="E260" s="3"/>
      <c r="F260" s="3">
        <v>1250.0</v>
      </c>
      <c r="G260" s="3">
        <v>0.0</v>
      </c>
      <c r="H260" s="3">
        <v>112.5</v>
      </c>
      <c r="I260" s="3">
        <v>112.5</v>
      </c>
      <c r="J260" s="7">
        <f t="shared" si="1"/>
        <v>225</v>
      </c>
      <c r="K260" s="3"/>
      <c r="L260" s="3" t="str">
        <f t="shared" si="2"/>
        <v>27ARCPS9021Q1Z4-24-25/0228-15052024</v>
      </c>
      <c r="M260" s="8">
        <f t="shared" si="7"/>
        <v>18</v>
      </c>
      <c r="N260" s="3" t="str">
        <f t="shared" si="4"/>
        <v/>
      </c>
      <c r="O260" s="9" t="str">
        <f t="shared" si="5"/>
        <v/>
      </c>
      <c r="P260" s="3" t="str">
        <f t="shared" si="6"/>
        <v/>
      </c>
      <c r="Q260" s="3"/>
    </row>
    <row r="261" ht="15.75" customHeight="1">
      <c r="A261" s="4" t="s">
        <v>108</v>
      </c>
      <c r="B261" s="5" t="s">
        <v>109</v>
      </c>
      <c r="C261" s="5" t="s">
        <v>434</v>
      </c>
      <c r="D261" s="6">
        <v>45427.0</v>
      </c>
      <c r="E261" s="3"/>
      <c r="F261" s="3">
        <v>2586.4</v>
      </c>
      <c r="G261" s="3">
        <v>0.0</v>
      </c>
      <c r="H261" s="3">
        <v>232.78</v>
      </c>
      <c r="I261" s="3">
        <v>232.78</v>
      </c>
      <c r="J261" s="7">
        <f t="shared" si="1"/>
        <v>465.56</v>
      </c>
      <c r="K261" s="3"/>
      <c r="L261" s="3" t="str">
        <f t="shared" si="2"/>
        <v>27AAFFM4787K1ZO-OP/498/24-25-15052024</v>
      </c>
      <c r="M261" s="8">
        <f t="shared" si="7"/>
        <v>18.00030931</v>
      </c>
      <c r="N261" s="3" t="str">
        <f t="shared" si="4"/>
        <v/>
      </c>
      <c r="O261" s="9" t="str">
        <f t="shared" si="5"/>
        <v/>
      </c>
      <c r="P261" s="3" t="str">
        <f t="shared" si="6"/>
        <v/>
      </c>
      <c r="Q261" s="3"/>
    </row>
    <row r="262" ht="15.75" customHeight="1">
      <c r="A262" s="4" t="s">
        <v>35</v>
      </c>
      <c r="B262" s="5" t="s">
        <v>36</v>
      </c>
      <c r="C262" s="5" t="s">
        <v>435</v>
      </c>
      <c r="D262" s="6">
        <v>45427.0</v>
      </c>
      <c r="E262" s="3"/>
      <c r="F262" s="3">
        <v>12634.0</v>
      </c>
      <c r="G262" s="3">
        <v>0.0</v>
      </c>
      <c r="H262" s="3">
        <v>1137.0</v>
      </c>
      <c r="I262" s="3">
        <v>1137.0</v>
      </c>
      <c r="J262" s="7">
        <f t="shared" si="1"/>
        <v>2274</v>
      </c>
      <c r="K262" s="3"/>
      <c r="L262" s="3" t="str">
        <f t="shared" si="2"/>
        <v>27AATPW4996L1ZA-3319-15052024</v>
      </c>
      <c r="M262" s="8">
        <f t="shared" si="7"/>
        <v>17.99905018</v>
      </c>
      <c r="N262" s="3" t="str">
        <f t="shared" si="4"/>
        <v/>
      </c>
      <c r="O262" s="9" t="str">
        <f t="shared" si="5"/>
        <v/>
      </c>
      <c r="P262" s="3" t="str">
        <f t="shared" si="6"/>
        <v/>
      </c>
      <c r="Q262" s="3"/>
    </row>
    <row r="263" ht="15.75" customHeight="1">
      <c r="A263" s="4" t="s">
        <v>66</v>
      </c>
      <c r="B263" s="5" t="s">
        <v>67</v>
      </c>
      <c r="C263" s="5" t="s">
        <v>436</v>
      </c>
      <c r="D263" s="6">
        <v>45427.0</v>
      </c>
      <c r="E263" s="3"/>
      <c r="F263" s="3">
        <v>94136.3</v>
      </c>
      <c r="G263" s="3">
        <v>0.0</v>
      </c>
      <c r="H263" s="3">
        <v>8472.26</v>
      </c>
      <c r="I263" s="3">
        <v>8472.26</v>
      </c>
      <c r="J263" s="7">
        <f t="shared" si="1"/>
        <v>16944.52</v>
      </c>
      <c r="K263" s="3"/>
      <c r="L263" s="3" t="str">
        <f t="shared" si="2"/>
        <v>27AABFM0352J1ZH-58/24-25-15052024</v>
      </c>
      <c r="M263" s="8">
        <f t="shared" si="7"/>
        <v>17.99998513</v>
      </c>
      <c r="N263" s="3" t="str">
        <f t="shared" si="4"/>
        <v/>
      </c>
      <c r="O263" s="9" t="str">
        <f t="shared" si="5"/>
        <v/>
      </c>
      <c r="P263" s="3" t="str">
        <f t="shared" si="6"/>
        <v/>
      </c>
      <c r="Q263" s="3"/>
    </row>
    <row r="264" ht="15.75" customHeight="1">
      <c r="A264" s="4" t="s">
        <v>154</v>
      </c>
      <c r="B264" s="5" t="s">
        <v>155</v>
      </c>
      <c r="C264" s="5" t="s">
        <v>437</v>
      </c>
      <c r="D264" s="6">
        <v>45427.0</v>
      </c>
      <c r="E264" s="3"/>
      <c r="F264" s="3">
        <v>7922.2</v>
      </c>
      <c r="G264" s="3">
        <v>0.0</v>
      </c>
      <c r="H264" s="3">
        <v>713.0</v>
      </c>
      <c r="I264" s="3">
        <v>713.0</v>
      </c>
      <c r="J264" s="7">
        <f t="shared" si="1"/>
        <v>1426</v>
      </c>
      <c r="K264" s="3"/>
      <c r="L264" s="3" t="str">
        <f t="shared" si="2"/>
        <v>27AACFE6426A1ZW-250371-15052024</v>
      </c>
      <c r="M264" s="8">
        <f t="shared" si="7"/>
        <v>18.00005049</v>
      </c>
      <c r="N264" s="3" t="str">
        <f t="shared" si="4"/>
        <v/>
      </c>
      <c r="O264" s="9" t="str">
        <f t="shared" si="5"/>
        <v/>
      </c>
      <c r="P264" s="3" t="str">
        <f t="shared" si="6"/>
        <v/>
      </c>
      <c r="Q264" s="3"/>
    </row>
    <row r="265" ht="15.75" customHeight="1">
      <c r="A265" s="4" t="s">
        <v>66</v>
      </c>
      <c r="B265" s="5" t="s">
        <v>67</v>
      </c>
      <c r="C265" s="5" t="s">
        <v>438</v>
      </c>
      <c r="D265" s="6">
        <v>45427.0</v>
      </c>
      <c r="E265" s="3"/>
      <c r="F265" s="3">
        <v>10650.0</v>
      </c>
      <c r="G265" s="3">
        <v>0.0</v>
      </c>
      <c r="H265" s="3">
        <v>958.5</v>
      </c>
      <c r="I265" s="3">
        <v>958.5</v>
      </c>
      <c r="J265" s="7">
        <f t="shared" si="1"/>
        <v>1917</v>
      </c>
      <c r="K265" s="3"/>
      <c r="L265" s="3" t="str">
        <f t="shared" si="2"/>
        <v>27AABFM0352J1ZH-60/24-25-15052024</v>
      </c>
      <c r="M265" s="8">
        <f t="shared" si="7"/>
        <v>18</v>
      </c>
      <c r="N265" s="3" t="str">
        <f t="shared" si="4"/>
        <v/>
      </c>
      <c r="O265" s="9" t="str">
        <f t="shared" si="5"/>
        <v/>
      </c>
      <c r="P265" s="3" t="str">
        <f t="shared" si="6"/>
        <v/>
      </c>
      <c r="Q265" s="3"/>
    </row>
    <row r="266" ht="15.75" customHeight="1">
      <c r="A266" s="4" t="s">
        <v>139</v>
      </c>
      <c r="B266" s="5" t="s">
        <v>140</v>
      </c>
      <c r="C266" s="5" t="s">
        <v>439</v>
      </c>
      <c r="D266" s="6">
        <v>45428.0</v>
      </c>
      <c r="E266" s="3"/>
      <c r="F266" s="3">
        <v>569.16</v>
      </c>
      <c r="G266" s="3">
        <v>0.0</v>
      </c>
      <c r="H266" s="3">
        <v>51.22</v>
      </c>
      <c r="I266" s="3">
        <v>51.22</v>
      </c>
      <c r="J266" s="7">
        <f t="shared" si="1"/>
        <v>102.44</v>
      </c>
      <c r="K266" s="3"/>
      <c r="L266" s="3" t="str">
        <f t="shared" si="2"/>
        <v>27AAAFU1306P1Z2-7028-16052024</v>
      </c>
      <c r="M266" s="8">
        <f t="shared" si="7"/>
        <v>17.99845386</v>
      </c>
      <c r="N266" s="3" t="str">
        <f t="shared" si="4"/>
        <v/>
      </c>
      <c r="O266" s="9" t="str">
        <f t="shared" si="5"/>
        <v/>
      </c>
      <c r="P266" s="3" t="str">
        <f t="shared" si="6"/>
        <v/>
      </c>
      <c r="Q266" s="3"/>
    </row>
    <row r="267" ht="15.75" customHeight="1">
      <c r="A267" s="4" t="s">
        <v>182</v>
      </c>
      <c r="B267" s="5" t="s">
        <v>183</v>
      </c>
      <c r="C267" s="5" t="s">
        <v>440</v>
      </c>
      <c r="D267" s="6">
        <v>45428.0</v>
      </c>
      <c r="E267" s="3"/>
      <c r="F267" s="3">
        <v>118872.85</v>
      </c>
      <c r="G267" s="3">
        <v>140269.97</v>
      </c>
      <c r="H267" s="3">
        <v>0.0</v>
      </c>
      <c r="I267" s="3">
        <v>0.0</v>
      </c>
      <c r="J267" s="7">
        <f t="shared" si="1"/>
        <v>140269.97</v>
      </c>
      <c r="K267" s="3"/>
      <c r="L267" s="3" t="str">
        <f t="shared" si="2"/>
        <v>24AAGFH7170L1Z5-GT/226-16052024</v>
      </c>
      <c r="M267" s="8">
        <f t="shared" si="7"/>
        <v>118.0000059</v>
      </c>
      <c r="N267" s="3" t="str">
        <f t="shared" si="4"/>
        <v/>
      </c>
      <c r="O267" s="9" t="str">
        <f t="shared" si="5"/>
        <v/>
      </c>
      <c r="P267" s="3" t="str">
        <f t="shared" si="6"/>
        <v/>
      </c>
      <c r="Q267" s="3"/>
    </row>
    <row r="268" ht="15.75" customHeight="1">
      <c r="A268" s="4" t="s">
        <v>154</v>
      </c>
      <c r="B268" s="5" t="s">
        <v>155</v>
      </c>
      <c r="C268" s="5" t="s">
        <v>441</v>
      </c>
      <c r="D268" s="6">
        <v>45428.0</v>
      </c>
      <c r="E268" s="3"/>
      <c r="F268" s="3">
        <v>4854.3</v>
      </c>
      <c r="G268" s="3">
        <v>0.0</v>
      </c>
      <c r="H268" s="3">
        <v>436.89</v>
      </c>
      <c r="I268" s="3">
        <v>436.89</v>
      </c>
      <c r="J268" s="7">
        <f t="shared" si="1"/>
        <v>873.78</v>
      </c>
      <c r="K268" s="3"/>
      <c r="L268" s="3" t="str">
        <f t="shared" si="2"/>
        <v>27AACFE6426A1ZW-250372-16052024</v>
      </c>
      <c r="M268" s="8">
        <f t="shared" si="7"/>
        <v>18.0001236</v>
      </c>
      <c r="N268" s="3" t="str">
        <f t="shared" si="4"/>
        <v/>
      </c>
      <c r="O268" s="9" t="str">
        <f t="shared" si="5"/>
        <v/>
      </c>
      <c r="P268" s="3" t="str">
        <f t="shared" si="6"/>
        <v/>
      </c>
      <c r="Q268" s="3"/>
    </row>
    <row r="269" ht="15.75" customHeight="1">
      <c r="A269" s="4" t="s">
        <v>41</v>
      </c>
      <c r="B269" s="5" t="s">
        <v>42</v>
      </c>
      <c r="C269" s="5" t="s">
        <v>442</v>
      </c>
      <c r="D269" s="6">
        <v>45428.0</v>
      </c>
      <c r="E269" s="3"/>
      <c r="F269" s="3">
        <v>546.0</v>
      </c>
      <c r="G269" s="3">
        <v>0.0</v>
      </c>
      <c r="H269" s="3">
        <v>49.14</v>
      </c>
      <c r="I269" s="3">
        <v>49.14</v>
      </c>
      <c r="J269" s="7">
        <f t="shared" si="1"/>
        <v>98.28</v>
      </c>
      <c r="K269" s="3"/>
      <c r="L269" s="3" t="str">
        <f t="shared" si="2"/>
        <v>27AACCA4768Q1Z0-335-16052024</v>
      </c>
      <c r="M269" s="8">
        <f t="shared" si="7"/>
        <v>18</v>
      </c>
      <c r="N269" s="3" t="str">
        <f t="shared" si="4"/>
        <v/>
      </c>
      <c r="O269" s="9" t="str">
        <f t="shared" si="5"/>
        <v/>
      </c>
      <c r="P269" s="3" t="str">
        <f t="shared" si="6"/>
        <v/>
      </c>
      <c r="Q269" s="3"/>
    </row>
    <row r="270" ht="15.75" customHeight="1">
      <c r="A270" s="4" t="s">
        <v>56</v>
      </c>
      <c r="B270" s="5" t="s">
        <v>57</v>
      </c>
      <c r="C270" s="5" t="s">
        <v>443</v>
      </c>
      <c r="D270" s="6">
        <v>45428.0</v>
      </c>
      <c r="E270" s="3"/>
      <c r="F270" s="3">
        <v>31568.0</v>
      </c>
      <c r="G270" s="3">
        <v>0.0</v>
      </c>
      <c r="H270" s="3">
        <v>2841.0</v>
      </c>
      <c r="I270" s="3">
        <v>2841.0</v>
      </c>
      <c r="J270" s="7">
        <f t="shared" si="1"/>
        <v>5682</v>
      </c>
      <c r="K270" s="3"/>
      <c r="L270" s="3" t="str">
        <f t="shared" si="2"/>
        <v>27AAACB2900K1ZZ-4320293336-16052024</v>
      </c>
      <c r="M270" s="8">
        <f t="shared" si="7"/>
        <v>17.99923974</v>
      </c>
      <c r="N270" s="3" t="str">
        <f t="shared" si="4"/>
        <v/>
      </c>
      <c r="O270" s="9" t="str">
        <f t="shared" si="5"/>
        <v/>
      </c>
      <c r="P270" s="3" t="str">
        <f t="shared" si="6"/>
        <v/>
      </c>
      <c r="Q270" s="3"/>
    </row>
    <row r="271" ht="15.75" customHeight="1">
      <c r="A271" s="4" t="s">
        <v>179</v>
      </c>
      <c r="B271" s="5" t="s">
        <v>180</v>
      </c>
      <c r="C271" s="5" t="s">
        <v>444</v>
      </c>
      <c r="D271" s="6">
        <v>45428.0</v>
      </c>
      <c r="E271" s="3"/>
      <c r="F271" s="3">
        <v>49461.75</v>
      </c>
      <c r="G271" s="3">
        <v>0.0</v>
      </c>
      <c r="H271" s="3">
        <v>4452.0</v>
      </c>
      <c r="I271" s="3">
        <v>4452.0</v>
      </c>
      <c r="J271" s="7">
        <f t="shared" si="1"/>
        <v>8904</v>
      </c>
      <c r="K271" s="3"/>
      <c r="L271" s="3" t="str">
        <f t="shared" si="2"/>
        <v>27AAACC3840K1ZP-424588037-16052024</v>
      </c>
      <c r="M271" s="8">
        <f t="shared" si="7"/>
        <v>18.00178926</v>
      </c>
      <c r="N271" s="3" t="str">
        <f t="shared" si="4"/>
        <v/>
      </c>
      <c r="O271" s="9" t="str">
        <f t="shared" si="5"/>
        <v/>
      </c>
      <c r="P271" s="3" t="str">
        <f t="shared" si="6"/>
        <v/>
      </c>
      <c r="Q271" s="3"/>
    </row>
    <row r="272" ht="15.75" customHeight="1">
      <c r="A272" s="4" t="s">
        <v>179</v>
      </c>
      <c r="B272" s="5" t="s">
        <v>180</v>
      </c>
      <c r="C272" s="5" t="s">
        <v>445</v>
      </c>
      <c r="D272" s="6">
        <v>45428.0</v>
      </c>
      <c r="E272" s="3"/>
      <c r="F272" s="3">
        <v>51665.25</v>
      </c>
      <c r="G272" s="3">
        <v>0.0</v>
      </c>
      <c r="H272" s="3">
        <v>4650.0</v>
      </c>
      <c r="I272" s="3">
        <v>4650.0</v>
      </c>
      <c r="J272" s="7">
        <f t="shared" si="1"/>
        <v>9300</v>
      </c>
      <c r="K272" s="3"/>
      <c r="L272" s="3" t="str">
        <f t="shared" si="2"/>
        <v>27AAACC3840K1ZP-424588038-16052024</v>
      </c>
      <c r="M272" s="8">
        <f t="shared" si="7"/>
        <v>18.00049356</v>
      </c>
      <c r="N272" s="3" t="str">
        <f t="shared" si="4"/>
        <v/>
      </c>
      <c r="O272" s="9" t="str">
        <f t="shared" si="5"/>
        <v/>
      </c>
      <c r="P272" s="3" t="str">
        <f t="shared" si="6"/>
        <v/>
      </c>
      <c r="Q272" s="3"/>
    </row>
    <row r="273" ht="15.75" customHeight="1">
      <c r="A273" s="4" t="s">
        <v>179</v>
      </c>
      <c r="B273" s="5" t="s">
        <v>180</v>
      </c>
      <c r="C273" s="5" t="s">
        <v>446</v>
      </c>
      <c r="D273" s="6">
        <v>45428.0</v>
      </c>
      <c r="E273" s="3"/>
      <c r="F273" s="3">
        <v>49461.75</v>
      </c>
      <c r="G273" s="3">
        <v>0.0</v>
      </c>
      <c r="H273" s="3">
        <v>4452.0</v>
      </c>
      <c r="I273" s="3">
        <v>4452.0</v>
      </c>
      <c r="J273" s="7">
        <f t="shared" si="1"/>
        <v>8904</v>
      </c>
      <c r="K273" s="3"/>
      <c r="L273" s="3" t="str">
        <f t="shared" si="2"/>
        <v>27AAACC3840K1ZP-424588039-16052024</v>
      </c>
      <c r="M273" s="8">
        <f t="shared" si="7"/>
        <v>18.00178926</v>
      </c>
      <c r="N273" s="3" t="str">
        <f t="shared" si="4"/>
        <v/>
      </c>
      <c r="O273" s="9" t="str">
        <f t="shared" si="5"/>
        <v/>
      </c>
      <c r="P273" s="3" t="str">
        <f t="shared" si="6"/>
        <v/>
      </c>
      <c r="Q273" s="3"/>
    </row>
    <row r="274" ht="15.75" customHeight="1">
      <c r="A274" s="4" t="s">
        <v>179</v>
      </c>
      <c r="B274" s="5" t="s">
        <v>180</v>
      </c>
      <c r="C274" s="5" t="s">
        <v>447</v>
      </c>
      <c r="D274" s="6">
        <v>45428.0</v>
      </c>
      <c r="E274" s="3"/>
      <c r="F274" s="3">
        <v>50631.75</v>
      </c>
      <c r="G274" s="3">
        <v>0.0</v>
      </c>
      <c r="H274" s="3">
        <v>4557.0</v>
      </c>
      <c r="I274" s="3">
        <v>4557.0</v>
      </c>
      <c r="J274" s="7">
        <f t="shared" si="1"/>
        <v>9114</v>
      </c>
      <c r="K274" s="3"/>
      <c r="L274" s="3" t="str">
        <f t="shared" si="2"/>
        <v>27AAACC3840K1ZP-424588045-16052024</v>
      </c>
      <c r="M274" s="8">
        <f t="shared" si="7"/>
        <v>18.00056289</v>
      </c>
      <c r="N274" s="3" t="str">
        <f t="shared" si="4"/>
        <v/>
      </c>
      <c r="O274" s="9" t="str">
        <f t="shared" si="5"/>
        <v/>
      </c>
      <c r="P274" s="3" t="str">
        <f t="shared" si="6"/>
        <v/>
      </c>
      <c r="Q274" s="3"/>
    </row>
    <row r="275" ht="15.75" customHeight="1">
      <c r="A275" s="4" t="s">
        <v>22</v>
      </c>
      <c r="B275" s="5" t="s">
        <v>23</v>
      </c>
      <c r="C275" s="5" t="s">
        <v>448</v>
      </c>
      <c r="D275" s="6">
        <v>45429.0</v>
      </c>
      <c r="E275" s="3"/>
      <c r="F275" s="3">
        <v>2398.5</v>
      </c>
      <c r="G275" s="3">
        <v>0.0</v>
      </c>
      <c r="H275" s="3">
        <v>215.86</v>
      </c>
      <c r="I275" s="3">
        <v>215.86</v>
      </c>
      <c r="J275" s="7">
        <f t="shared" si="1"/>
        <v>431.72</v>
      </c>
      <c r="K275" s="3"/>
      <c r="L275" s="3" t="str">
        <f t="shared" si="2"/>
        <v>27AABFS2833A1ZO-SLSLM-03776-17052024</v>
      </c>
      <c r="M275" s="8">
        <f t="shared" si="7"/>
        <v>17.99958307</v>
      </c>
      <c r="N275" s="3" t="str">
        <f t="shared" si="4"/>
        <v/>
      </c>
      <c r="O275" s="9" t="str">
        <f t="shared" si="5"/>
        <v/>
      </c>
      <c r="P275" s="3" t="str">
        <f t="shared" si="6"/>
        <v/>
      </c>
      <c r="Q275" s="3"/>
    </row>
    <row r="276" ht="15.75" customHeight="1">
      <c r="A276" s="4" t="s">
        <v>56</v>
      </c>
      <c r="B276" s="5" t="s">
        <v>57</v>
      </c>
      <c r="C276" s="5" t="s">
        <v>449</v>
      </c>
      <c r="D276" s="6">
        <v>45429.0</v>
      </c>
      <c r="E276" s="3"/>
      <c r="F276" s="3">
        <v>225990.0</v>
      </c>
      <c r="G276" s="3">
        <v>0.0</v>
      </c>
      <c r="H276" s="3">
        <v>20339.0</v>
      </c>
      <c r="I276" s="3">
        <v>20339.0</v>
      </c>
      <c r="J276" s="7">
        <f t="shared" si="1"/>
        <v>40678</v>
      </c>
      <c r="K276" s="3"/>
      <c r="L276" s="3" t="str">
        <f t="shared" si="2"/>
        <v>27AAACB2900K1ZZ-4320293365-17052024</v>
      </c>
      <c r="M276" s="8">
        <f t="shared" si="7"/>
        <v>17.9999115</v>
      </c>
      <c r="N276" s="3" t="str">
        <f t="shared" si="4"/>
        <v/>
      </c>
      <c r="O276" s="9" t="str">
        <f t="shared" si="5"/>
        <v/>
      </c>
      <c r="P276" s="3" t="str">
        <f t="shared" si="6"/>
        <v/>
      </c>
      <c r="Q276" s="3"/>
    </row>
    <row r="277" ht="15.75" customHeight="1">
      <c r="A277" s="4" t="s">
        <v>56</v>
      </c>
      <c r="B277" s="5" t="s">
        <v>57</v>
      </c>
      <c r="C277" s="5" t="s">
        <v>450</v>
      </c>
      <c r="D277" s="6">
        <v>45429.0</v>
      </c>
      <c r="E277" s="3"/>
      <c r="F277" s="3">
        <v>150660.0</v>
      </c>
      <c r="G277" s="3">
        <v>0.0</v>
      </c>
      <c r="H277" s="3">
        <v>13559.0</v>
      </c>
      <c r="I277" s="3">
        <v>13559.0</v>
      </c>
      <c r="J277" s="7">
        <f t="shared" si="1"/>
        <v>27118</v>
      </c>
      <c r="K277" s="3"/>
      <c r="L277" s="3" t="str">
        <f t="shared" si="2"/>
        <v>27AAACB2900K1ZZ-4320293364-17052024</v>
      </c>
      <c r="M277" s="8">
        <f t="shared" si="7"/>
        <v>17.999469</v>
      </c>
      <c r="N277" s="3" t="str">
        <f t="shared" si="4"/>
        <v/>
      </c>
      <c r="O277" s="9" t="str">
        <f t="shared" si="5"/>
        <v/>
      </c>
      <c r="P277" s="3" t="str">
        <f t="shared" si="6"/>
        <v/>
      </c>
      <c r="Q277" s="3"/>
    </row>
    <row r="278" ht="15.75" customHeight="1">
      <c r="A278" s="4" t="s">
        <v>451</v>
      </c>
      <c r="B278" s="5" t="s">
        <v>452</v>
      </c>
      <c r="C278" s="5" t="s">
        <v>453</v>
      </c>
      <c r="D278" s="6">
        <v>45430.0</v>
      </c>
      <c r="E278" s="3"/>
      <c r="F278" s="3">
        <v>4602.88</v>
      </c>
      <c r="G278" s="3">
        <v>0.0</v>
      </c>
      <c r="H278" s="3">
        <v>414.26</v>
      </c>
      <c r="I278" s="3">
        <v>414.26</v>
      </c>
      <c r="J278" s="7">
        <f t="shared" si="1"/>
        <v>828.52</v>
      </c>
      <c r="K278" s="3"/>
      <c r="L278" s="3" t="str">
        <f t="shared" si="2"/>
        <v>27AAAFT7708G1Z4-250112488-18052024</v>
      </c>
      <c r="M278" s="8">
        <f t="shared" si="7"/>
        <v>18.00003476</v>
      </c>
      <c r="N278" s="3" t="str">
        <f t="shared" si="4"/>
        <v/>
      </c>
      <c r="O278" s="9" t="str">
        <f t="shared" si="5"/>
        <v/>
      </c>
      <c r="P278" s="3" t="str">
        <f t="shared" si="6"/>
        <v/>
      </c>
      <c r="Q278" s="3"/>
    </row>
    <row r="279" ht="15.75" customHeight="1">
      <c r="A279" s="4" t="s">
        <v>333</v>
      </c>
      <c r="B279" s="5" t="s">
        <v>334</v>
      </c>
      <c r="C279" s="5" t="s">
        <v>454</v>
      </c>
      <c r="D279" s="6">
        <v>45430.0</v>
      </c>
      <c r="E279" s="3"/>
      <c r="F279" s="3">
        <v>12800.0</v>
      </c>
      <c r="G279" s="3">
        <v>0.0</v>
      </c>
      <c r="H279" s="3">
        <v>1152.0</v>
      </c>
      <c r="I279" s="3">
        <v>1152.0</v>
      </c>
      <c r="J279" s="7">
        <f t="shared" si="1"/>
        <v>2304</v>
      </c>
      <c r="K279" s="3"/>
      <c r="L279" s="3" t="str">
        <f t="shared" si="2"/>
        <v>27AAACD7365G1ZL-1RG2425-69-18052024</v>
      </c>
      <c r="M279" s="8">
        <f t="shared" si="7"/>
        <v>18</v>
      </c>
      <c r="N279" s="3" t="str">
        <f t="shared" si="4"/>
        <v/>
      </c>
      <c r="O279" s="9" t="str">
        <f t="shared" si="5"/>
        <v/>
      </c>
      <c r="P279" s="3" t="str">
        <f t="shared" si="6"/>
        <v/>
      </c>
      <c r="Q279" s="3"/>
    </row>
    <row r="280" ht="15.75" customHeight="1">
      <c r="A280" s="4" t="s">
        <v>455</v>
      </c>
      <c r="B280" s="5" t="s">
        <v>456</v>
      </c>
      <c r="C280" s="5" t="s">
        <v>457</v>
      </c>
      <c r="D280" s="6">
        <v>45430.0</v>
      </c>
      <c r="E280" s="3"/>
      <c r="F280" s="3">
        <v>550.0</v>
      </c>
      <c r="G280" s="3">
        <v>0.0</v>
      </c>
      <c r="H280" s="3">
        <v>49.5</v>
      </c>
      <c r="I280" s="3">
        <v>49.5</v>
      </c>
      <c r="J280" s="7">
        <f t="shared" si="1"/>
        <v>99</v>
      </c>
      <c r="K280" s="3"/>
      <c r="L280" s="3" t="str">
        <f t="shared" si="2"/>
        <v>27AJLPJ5358G1ZX-GR/91-18052024</v>
      </c>
      <c r="M280" s="8">
        <f t="shared" si="7"/>
        <v>18</v>
      </c>
      <c r="N280" s="3" t="str">
        <f t="shared" si="4"/>
        <v/>
      </c>
      <c r="O280" s="9" t="str">
        <f t="shared" si="5"/>
        <v/>
      </c>
      <c r="P280" s="3" t="str">
        <f t="shared" si="6"/>
        <v/>
      </c>
      <c r="Q280" s="3"/>
    </row>
    <row r="281" ht="15.75" customHeight="1">
      <c r="A281" s="4" t="s">
        <v>340</v>
      </c>
      <c r="B281" s="5" t="s">
        <v>341</v>
      </c>
      <c r="C281" s="5" t="s">
        <v>458</v>
      </c>
      <c r="D281" s="6">
        <v>45430.0</v>
      </c>
      <c r="E281" s="3"/>
      <c r="F281" s="3">
        <v>660.0</v>
      </c>
      <c r="G281" s="3">
        <v>0.0</v>
      </c>
      <c r="H281" s="3">
        <v>0.0</v>
      </c>
      <c r="I281" s="3">
        <v>0.0</v>
      </c>
      <c r="J281" s="7">
        <f t="shared" si="1"/>
        <v>0</v>
      </c>
      <c r="K281" s="3"/>
      <c r="L281" s="3" t="str">
        <f t="shared" si="2"/>
        <v>27AAEHA2018Q1Z9-24186102519-18052024</v>
      </c>
      <c r="M281" s="8">
        <f t="shared" si="7"/>
        <v>0</v>
      </c>
      <c r="N281" s="3" t="str">
        <f t="shared" si="4"/>
        <v/>
      </c>
      <c r="O281" s="9" t="str">
        <f t="shared" si="5"/>
        <v/>
      </c>
      <c r="P281" s="3" t="str">
        <f t="shared" si="6"/>
        <v/>
      </c>
      <c r="Q281" s="3"/>
    </row>
    <row r="282" ht="15.75" customHeight="1">
      <c r="A282" s="4" t="s">
        <v>459</v>
      </c>
      <c r="B282" s="5" t="s">
        <v>460</v>
      </c>
      <c r="C282" s="5" t="s">
        <v>461</v>
      </c>
      <c r="D282" s="6">
        <v>45433.0</v>
      </c>
      <c r="E282" s="3"/>
      <c r="F282" s="3">
        <v>150.0</v>
      </c>
      <c r="G282" s="3">
        <v>0.0</v>
      </c>
      <c r="H282" s="3">
        <v>13.5</v>
      </c>
      <c r="I282" s="3">
        <v>13.5</v>
      </c>
      <c r="J282" s="7">
        <f t="shared" si="1"/>
        <v>27</v>
      </c>
      <c r="K282" s="3"/>
      <c r="L282" s="3" t="str">
        <f t="shared" si="2"/>
        <v>27AHHPD3176G1ZG-24/25-1047-21052024</v>
      </c>
      <c r="M282" s="8">
        <f t="shared" si="7"/>
        <v>18</v>
      </c>
      <c r="N282" s="3" t="str">
        <f t="shared" si="4"/>
        <v/>
      </c>
      <c r="O282" s="9" t="str">
        <f t="shared" si="5"/>
        <v/>
      </c>
      <c r="P282" s="3" t="str">
        <f t="shared" si="6"/>
        <v/>
      </c>
      <c r="Q282" s="3"/>
    </row>
    <row r="283" ht="15.75" customHeight="1">
      <c r="A283" s="4" t="s">
        <v>50</v>
      </c>
      <c r="B283" s="5" t="s">
        <v>51</v>
      </c>
      <c r="C283" s="5" t="s">
        <v>462</v>
      </c>
      <c r="D283" s="6">
        <v>45433.0</v>
      </c>
      <c r="E283" s="3"/>
      <c r="F283" s="3">
        <v>8300.0</v>
      </c>
      <c r="G283" s="3">
        <v>0.0</v>
      </c>
      <c r="H283" s="3">
        <v>747.0</v>
      </c>
      <c r="I283" s="3">
        <v>747.0</v>
      </c>
      <c r="J283" s="7">
        <f t="shared" si="1"/>
        <v>1494</v>
      </c>
      <c r="K283" s="3"/>
      <c r="L283" s="3" t="str">
        <f t="shared" si="2"/>
        <v>27AAPPS9140J1Z0-1038/2024-25-21052024</v>
      </c>
      <c r="M283" s="8">
        <f t="shared" si="7"/>
        <v>18</v>
      </c>
      <c r="N283" s="3" t="str">
        <f t="shared" si="4"/>
        <v/>
      </c>
      <c r="O283" s="9" t="str">
        <f t="shared" si="5"/>
        <v/>
      </c>
      <c r="P283" s="3" t="str">
        <f t="shared" si="6"/>
        <v/>
      </c>
      <c r="Q283" s="3"/>
    </row>
    <row r="284" ht="15.75" customHeight="1">
      <c r="A284" s="4" t="s">
        <v>187</v>
      </c>
      <c r="B284" s="5" t="s">
        <v>188</v>
      </c>
      <c r="C284" s="5" t="s">
        <v>463</v>
      </c>
      <c r="D284" s="6">
        <v>45433.0</v>
      </c>
      <c r="E284" s="3"/>
      <c r="F284" s="3">
        <v>889369.0</v>
      </c>
      <c r="G284" s="3">
        <v>0.0</v>
      </c>
      <c r="H284" s="3">
        <v>80043.21</v>
      </c>
      <c r="I284" s="3">
        <v>80043.21</v>
      </c>
      <c r="J284" s="7">
        <f t="shared" si="1"/>
        <v>160086.42</v>
      </c>
      <c r="K284" s="3"/>
      <c r="L284" s="3" t="str">
        <f t="shared" si="2"/>
        <v>27AABPD5831H1Z0-28/24-25-21052024</v>
      </c>
      <c r="M284" s="8">
        <f t="shared" si="7"/>
        <v>18</v>
      </c>
      <c r="N284" s="3" t="str">
        <f t="shared" si="4"/>
        <v/>
      </c>
      <c r="O284" s="9" t="str">
        <f t="shared" si="5"/>
        <v/>
      </c>
      <c r="P284" s="3" t="str">
        <f t="shared" si="6"/>
        <v/>
      </c>
      <c r="Q284" s="3"/>
    </row>
    <row r="285" ht="15.75" customHeight="1">
      <c r="A285" s="4" t="s">
        <v>195</v>
      </c>
      <c r="B285" s="5" t="s">
        <v>196</v>
      </c>
      <c r="C285" s="5" t="s">
        <v>464</v>
      </c>
      <c r="D285" s="6">
        <v>45433.0</v>
      </c>
      <c r="E285" s="3"/>
      <c r="F285" s="3">
        <v>1050.0</v>
      </c>
      <c r="G285" s="3">
        <v>0.0</v>
      </c>
      <c r="H285" s="3">
        <v>94.5</v>
      </c>
      <c r="I285" s="3">
        <v>94.5</v>
      </c>
      <c r="J285" s="7">
        <f t="shared" si="1"/>
        <v>189</v>
      </c>
      <c r="K285" s="3"/>
      <c r="L285" s="3" t="str">
        <f t="shared" si="2"/>
        <v>27ACIPK1680N1Z6-355/24-25-21052024</v>
      </c>
      <c r="M285" s="8">
        <f t="shared" si="7"/>
        <v>18</v>
      </c>
      <c r="N285" s="3" t="str">
        <f t="shared" si="4"/>
        <v/>
      </c>
      <c r="O285" s="9" t="str">
        <f t="shared" si="5"/>
        <v/>
      </c>
      <c r="P285" s="3" t="str">
        <f t="shared" si="6"/>
        <v/>
      </c>
      <c r="Q285" s="3"/>
    </row>
    <row r="286" ht="15.75" customHeight="1">
      <c r="A286" s="4" t="s">
        <v>336</v>
      </c>
      <c r="B286" s="5" t="s">
        <v>337</v>
      </c>
      <c r="C286" s="5" t="s">
        <v>465</v>
      </c>
      <c r="D286" s="6">
        <v>45433.0</v>
      </c>
      <c r="E286" s="3"/>
      <c r="F286" s="3">
        <v>12384.0</v>
      </c>
      <c r="G286" s="3">
        <v>0.0</v>
      </c>
      <c r="H286" s="3">
        <v>1114.56</v>
      </c>
      <c r="I286" s="3">
        <v>1114.56</v>
      </c>
      <c r="J286" s="7">
        <f t="shared" si="1"/>
        <v>2229.12</v>
      </c>
      <c r="K286" s="3"/>
      <c r="L286" s="3" t="str">
        <f t="shared" si="2"/>
        <v>27AAACM2855Q1ZY-MH/2016/24-25-21052024</v>
      </c>
      <c r="M286" s="8">
        <f t="shared" si="7"/>
        <v>18</v>
      </c>
      <c r="N286" s="3" t="str">
        <f t="shared" si="4"/>
        <v/>
      </c>
      <c r="O286" s="9" t="str">
        <f t="shared" si="5"/>
        <v/>
      </c>
      <c r="P286" s="3" t="str">
        <f t="shared" si="6"/>
        <v/>
      </c>
      <c r="Q286" s="3"/>
    </row>
    <row r="287" ht="15.75" customHeight="1">
      <c r="A287" s="4" t="s">
        <v>56</v>
      </c>
      <c r="B287" s="5" t="s">
        <v>57</v>
      </c>
      <c r="C287" s="5" t="s">
        <v>466</v>
      </c>
      <c r="D287" s="6">
        <v>45433.0</v>
      </c>
      <c r="E287" s="3"/>
      <c r="F287" s="3">
        <v>181000.0</v>
      </c>
      <c r="G287" s="3">
        <v>0.0</v>
      </c>
      <c r="H287" s="3">
        <v>16290.0</v>
      </c>
      <c r="I287" s="3">
        <v>16290.0</v>
      </c>
      <c r="J287" s="7">
        <f t="shared" si="1"/>
        <v>32580</v>
      </c>
      <c r="K287" s="3"/>
      <c r="L287" s="3" t="str">
        <f t="shared" si="2"/>
        <v>27AAACB2900K1ZZ-4320293743-21052024</v>
      </c>
      <c r="M287" s="8">
        <f t="shared" si="7"/>
        <v>18</v>
      </c>
      <c r="N287" s="3" t="str">
        <f t="shared" si="4"/>
        <v/>
      </c>
      <c r="O287" s="9" t="str">
        <f t="shared" si="5"/>
        <v/>
      </c>
      <c r="P287" s="3" t="str">
        <f t="shared" si="6"/>
        <v/>
      </c>
      <c r="Q287" s="3"/>
    </row>
    <row r="288" ht="15.75" customHeight="1">
      <c r="A288" s="4" t="s">
        <v>56</v>
      </c>
      <c r="B288" s="5" t="s">
        <v>57</v>
      </c>
      <c r="C288" s="5" t="s">
        <v>467</v>
      </c>
      <c r="D288" s="6">
        <v>45433.0</v>
      </c>
      <c r="E288" s="3"/>
      <c r="F288" s="3">
        <v>55212.0</v>
      </c>
      <c r="G288" s="3">
        <v>0.0</v>
      </c>
      <c r="H288" s="3">
        <v>4969.0</v>
      </c>
      <c r="I288" s="3">
        <v>4969.0</v>
      </c>
      <c r="J288" s="7">
        <f t="shared" si="1"/>
        <v>9938</v>
      </c>
      <c r="K288" s="3"/>
      <c r="L288" s="3" t="str">
        <f t="shared" si="2"/>
        <v>27AAACB2900K1ZZ-4320293744-21052024</v>
      </c>
      <c r="M288" s="8">
        <f t="shared" si="7"/>
        <v>17.99971021</v>
      </c>
      <c r="N288" s="3" t="str">
        <f t="shared" si="4"/>
        <v/>
      </c>
      <c r="O288" s="9" t="str">
        <f t="shared" si="5"/>
        <v/>
      </c>
      <c r="P288" s="3" t="str">
        <f t="shared" si="6"/>
        <v/>
      </c>
      <c r="Q288" s="3"/>
    </row>
    <row r="289" ht="15.75" customHeight="1">
      <c r="A289" s="4" t="s">
        <v>56</v>
      </c>
      <c r="B289" s="5" t="s">
        <v>57</v>
      </c>
      <c r="C289" s="5" t="s">
        <v>468</v>
      </c>
      <c r="D289" s="6">
        <v>45433.0</v>
      </c>
      <c r="E289" s="3"/>
      <c r="F289" s="3">
        <v>32642.0</v>
      </c>
      <c r="G289" s="3">
        <v>0.0</v>
      </c>
      <c r="H289" s="3">
        <v>2938.0</v>
      </c>
      <c r="I289" s="3">
        <v>2938.0</v>
      </c>
      <c r="J289" s="7">
        <f t="shared" si="1"/>
        <v>5876</v>
      </c>
      <c r="K289" s="3"/>
      <c r="L289" s="3" t="str">
        <f t="shared" si="2"/>
        <v>27AAACB2900K1ZZ-4320293747-21052024</v>
      </c>
      <c r="M289" s="8">
        <f t="shared" si="7"/>
        <v>18.00134796</v>
      </c>
      <c r="N289" s="3" t="str">
        <f t="shared" si="4"/>
        <v/>
      </c>
      <c r="O289" s="9" t="str">
        <f t="shared" si="5"/>
        <v/>
      </c>
      <c r="P289" s="3" t="str">
        <f t="shared" si="6"/>
        <v/>
      </c>
      <c r="Q289" s="3"/>
    </row>
    <row r="290" ht="15.75" customHeight="1">
      <c r="A290" s="4" t="s">
        <v>56</v>
      </c>
      <c r="B290" s="5" t="s">
        <v>57</v>
      </c>
      <c r="C290" s="5" t="s">
        <v>469</v>
      </c>
      <c r="D290" s="6">
        <v>45433.0</v>
      </c>
      <c r="E290" s="3"/>
      <c r="F290" s="3">
        <v>28510.0</v>
      </c>
      <c r="G290" s="3">
        <v>0.0</v>
      </c>
      <c r="H290" s="3">
        <v>2566.0</v>
      </c>
      <c r="I290" s="3">
        <v>2566.0</v>
      </c>
      <c r="J290" s="7">
        <f t="shared" si="1"/>
        <v>5132</v>
      </c>
      <c r="K290" s="3"/>
      <c r="L290" s="3" t="str">
        <f t="shared" si="2"/>
        <v>27AAACB2900K1ZZ-4320293737-21052024</v>
      </c>
      <c r="M290" s="8">
        <f t="shared" si="7"/>
        <v>18.00070151</v>
      </c>
      <c r="N290" s="3" t="str">
        <f t="shared" si="4"/>
        <v/>
      </c>
      <c r="O290" s="9" t="str">
        <f t="shared" si="5"/>
        <v/>
      </c>
      <c r="P290" s="3" t="str">
        <f t="shared" si="6"/>
        <v/>
      </c>
      <c r="Q290" s="3"/>
    </row>
    <row r="291" ht="15.75" customHeight="1">
      <c r="A291" s="4" t="s">
        <v>56</v>
      </c>
      <c r="B291" s="5" t="s">
        <v>57</v>
      </c>
      <c r="C291" s="5" t="s">
        <v>470</v>
      </c>
      <c r="D291" s="6">
        <v>45433.0</v>
      </c>
      <c r="E291" s="3"/>
      <c r="F291" s="3">
        <v>99100.0</v>
      </c>
      <c r="G291" s="3">
        <v>0.0</v>
      </c>
      <c r="H291" s="3">
        <v>8919.0</v>
      </c>
      <c r="I291" s="3">
        <v>8919.0</v>
      </c>
      <c r="J291" s="7">
        <f t="shared" si="1"/>
        <v>17838</v>
      </c>
      <c r="K291" s="3"/>
      <c r="L291" s="3" t="str">
        <f t="shared" si="2"/>
        <v>27AAACB2900K1ZZ-4320293739-21052024</v>
      </c>
      <c r="M291" s="8">
        <f t="shared" si="7"/>
        <v>18</v>
      </c>
      <c r="N291" s="3" t="str">
        <f t="shared" si="4"/>
        <v/>
      </c>
      <c r="O291" s="9" t="str">
        <f t="shared" si="5"/>
        <v/>
      </c>
      <c r="P291" s="3" t="str">
        <f t="shared" si="6"/>
        <v/>
      </c>
      <c r="Q291" s="3"/>
    </row>
    <row r="292" ht="15.75" customHeight="1">
      <c r="A292" s="4" t="s">
        <v>56</v>
      </c>
      <c r="B292" s="5" t="s">
        <v>57</v>
      </c>
      <c r="C292" s="5" t="s">
        <v>471</v>
      </c>
      <c r="D292" s="6">
        <v>45433.0</v>
      </c>
      <c r="E292" s="3"/>
      <c r="F292" s="3">
        <v>80360.0</v>
      </c>
      <c r="G292" s="3">
        <v>0.0</v>
      </c>
      <c r="H292" s="3">
        <v>7232.0</v>
      </c>
      <c r="I292" s="3">
        <v>7232.0</v>
      </c>
      <c r="J292" s="7">
        <f t="shared" si="1"/>
        <v>14464</v>
      </c>
      <c r="K292" s="3"/>
      <c r="L292" s="3" t="str">
        <f t="shared" si="2"/>
        <v>27AAACB2900K1ZZ-4320293741-21052024</v>
      </c>
      <c r="M292" s="8">
        <f t="shared" si="7"/>
        <v>17.99900448</v>
      </c>
      <c r="N292" s="3" t="str">
        <f t="shared" si="4"/>
        <v/>
      </c>
      <c r="O292" s="9" t="str">
        <f t="shared" si="5"/>
        <v/>
      </c>
      <c r="P292" s="3" t="str">
        <f t="shared" si="6"/>
        <v/>
      </c>
      <c r="Q292" s="3"/>
    </row>
    <row r="293" ht="15.75" customHeight="1">
      <c r="A293" s="4" t="s">
        <v>66</v>
      </c>
      <c r="B293" s="5" t="s">
        <v>67</v>
      </c>
      <c r="C293" s="5" t="s">
        <v>472</v>
      </c>
      <c r="D293" s="6">
        <v>45433.0</v>
      </c>
      <c r="E293" s="3"/>
      <c r="F293" s="3">
        <v>45.76</v>
      </c>
      <c r="G293" s="3">
        <v>0.0</v>
      </c>
      <c r="H293" s="3">
        <v>4.12</v>
      </c>
      <c r="I293" s="3">
        <v>4.12</v>
      </c>
      <c r="J293" s="7">
        <f t="shared" si="1"/>
        <v>8.24</v>
      </c>
      <c r="K293" s="3"/>
      <c r="L293" s="3" t="str">
        <f t="shared" si="2"/>
        <v>27AABFM0352J1ZH-68/24-25-21052024</v>
      </c>
      <c r="M293" s="8">
        <f t="shared" si="7"/>
        <v>18.00699301</v>
      </c>
      <c r="N293" s="3" t="str">
        <f t="shared" si="4"/>
        <v/>
      </c>
      <c r="O293" s="9" t="str">
        <f t="shared" si="5"/>
        <v/>
      </c>
      <c r="P293" s="3" t="str">
        <f t="shared" si="6"/>
        <v/>
      </c>
      <c r="Q293" s="3"/>
    </row>
    <row r="294" ht="15.75" customHeight="1">
      <c r="A294" s="4" t="s">
        <v>346</v>
      </c>
      <c r="B294" s="5" t="s">
        <v>347</v>
      </c>
      <c r="C294" s="5" t="s">
        <v>473</v>
      </c>
      <c r="D294" s="6">
        <v>45434.0</v>
      </c>
      <c r="E294" s="3"/>
      <c r="F294" s="3">
        <v>100.0</v>
      </c>
      <c r="G294" s="3">
        <v>0.0</v>
      </c>
      <c r="H294" s="3">
        <v>9.0</v>
      </c>
      <c r="I294" s="3">
        <v>9.0</v>
      </c>
      <c r="J294" s="7">
        <f t="shared" si="1"/>
        <v>18</v>
      </c>
      <c r="K294" s="3"/>
      <c r="L294" s="3" t="str">
        <f t="shared" si="2"/>
        <v>27AFGPK5440M1Z6-SS/00717/2024-25-22052024</v>
      </c>
      <c r="M294" s="8">
        <f t="shared" si="7"/>
        <v>18</v>
      </c>
      <c r="N294" s="3" t="str">
        <f t="shared" si="4"/>
        <v/>
      </c>
      <c r="O294" s="9" t="str">
        <f t="shared" si="5"/>
        <v/>
      </c>
      <c r="P294" s="3" t="str">
        <f t="shared" si="6"/>
        <v/>
      </c>
      <c r="Q294" s="3"/>
    </row>
    <row r="295" ht="15.75" customHeight="1">
      <c r="A295" s="4" t="s">
        <v>187</v>
      </c>
      <c r="B295" s="5" t="s">
        <v>188</v>
      </c>
      <c r="C295" s="5" t="s">
        <v>211</v>
      </c>
      <c r="D295" s="6">
        <v>45434.0</v>
      </c>
      <c r="E295" s="3"/>
      <c r="F295" s="3">
        <v>891605.0</v>
      </c>
      <c r="G295" s="3">
        <v>0.0</v>
      </c>
      <c r="H295" s="3">
        <v>80244.45</v>
      </c>
      <c r="I295" s="3">
        <v>80244.45</v>
      </c>
      <c r="J295" s="7">
        <f t="shared" si="1"/>
        <v>160488.9</v>
      </c>
      <c r="K295" s="3"/>
      <c r="L295" s="3" t="str">
        <f t="shared" si="2"/>
        <v>27AABPD5831H1Z0-29/24-25-22052024</v>
      </c>
      <c r="M295" s="8">
        <f t="shared" si="7"/>
        <v>18</v>
      </c>
      <c r="N295" s="3" t="str">
        <f t="shared" si="4"/>
        <v/>
      </c>
      <c r="O295" s="9" t="str">
        <f t="shared" si="5"/>
        <v/>
      </c>
      <c r="P295" s="3" t="str">
        <f t="shared" si="6"/>
        <v/>
      </c>
      <c r="Q295" s="3"/>
    </row>
    <row r="296" ht="15.75" customHeight="1">
      <c r="A296" s="4" t="s">
        <v>38</v>
      </c>
      <c r="B296" s="5" t="s">
        <v>39</v>
      </c>
      <c r="C296" s="5" t="s">
        <v>474</v>
      </c>
      <c r="D296" s="6">
        <v>45434.0</v>
      </c>
      <c r="E296" s="3"/>
      <c r="F296" s="3">
        <v>6970.0</v>
      </c>
      <c r="G296" s="3">
        <v>0.0</v>
      </c>
      <c r="H296" s="3">
        <v>418.0</v>
      </c>
      <c r="I296" s="3">
        <v>418.0</v>
      </c>
      <c r="J296" s="7">
        <f t="shared" si="1"/>
        <v>836</v>
      </c>
      <c r="K296" s="3"/>
      <c r="L296" s="3" t="str">
        <f t="shared" si="2"/>
        <v>27AOVPP9192F2Z0-288-22052024</v>
      </c>
      <c r="M296" s="8">
        <f t="shared" si="7"/>
        <v>11.99426112</v>
      </c>
      <c r="N296" s="3" t="str">
        <f t="shared" si="4"/>
        <v/>
      </c>
      <c r="O296" s="9" t="str">
        <f t="shared" si="5"/>
        <v/>
      </c>
      <c r="P296" s="3" t="str">
        <f t="shared" si="6"/>
        <v/>
      </c>
      <c r="Q296" s="3"/>
    </row>
    <row r="297" ht="15.75" customHeight="1">
      <c r="A297" s="4" t="s">
        <v>56</v>
      </c>
      <c r="B297" s="5" t="s">
        <v>57</v>
      </c>
      <c r="C297" s="5" t="s">
        <v>475</v>
      </c>
      <c r="D297" s="6">
        <v>45434.0</v>
      </c>
      <c r="E297" s="3"/>
      <c r="F297" s="3">
        <v>70242.0</v>
      </c>
      <c r="G297" s="3">
        <v>0.0</v>
      </c>
      <c r="H297" s="3">
        <v>6322.0</v>
      </c>
      <c r="I297" s="3">
        <v>6322.0</v>
      </c>
      <c r="J297" s="7">
        <f t="shared" si="1"/>
        <v>12644</v>
      </c>
      <c r="K297" s="3"/>
      <c r="L297" s="3" t="str">
        <f t="shared" si="2"/>
        <v>27AAACB2900K1ZZ-4320293860-22052024</v>
      </c>
      <c r="M297" s="8">
        <f t="shared" si="7"/>
        <v>18.00062641</v>
      </c>
      <c r="N297" s="3" t="str">
        <f t="shared" si="4"/>
        <v/>
      </c>
      <c r="O297" s="9" t="str">
        <f t="shared" si="5"/>
        <v/>
      </c>
      <c r="P297" s="3" t="str">
        <f t="shared" si="6"/>
        <v/>
      </c>
      <c r="Q297" s="3"/>
    </row>
    <row r="298" ht="15.75" customHeight="1">
      <c r="A298" s="4" t="s">
        <v>56</v>
      </c>
      <c r="B298" s="5" t="s">
        <v>57</v>
      </c>
      <c r="C298" s="5" t="s">
        <v>476</v>
      </c>
      <c r="D298" s="6">
        <v>45434.0</v>
      </c>
      <c r="E298" s="3"/>
      <c r="F298" s="3">
        <v>11656.0</v>
      </c>
      <c r="G298" s="3">
        <v>0.0</v>
      </c>
      <c r="H298" s="3">
        <v>1049.0</v>
      </c>
      <c r="I298" s="3">
        <v>1049.0</v>
      </c>
      <c r="J298" s="7">
        <f t="shared" si="1"/>
        <v>2098</v>
      </c>
      <c r="K298" s="3"/>
      <c r="L298" s="3" t="str">
        <f t="shared" si="2"/>
        <v>27AAACB2900K1ZZ-4320293863-22052024</v>
      </c>
      <c r="M298" s="8">
        <f t="shared" si="7"/>
        <v>17.99931366</v>
      </c>
      <c r="N298" s="3" t="str">
        <f t="shared" si="4"/>
        <v/>
      </c>
      <c r="O298" s="9" t="str">
        <f t="shared" si="5"/>
        <v/>
      </c>
      <c r="P298" s="3" t="str">
        <f t="shared" si="6"/>
        <v/>
      </c>
      <c r="Q298" s="3"/>
    </row>
    <row r="299" ht="15.75" customHeight="1">
      <c r="A299" s="4" t="s">
        <v>56</v>
      </c>
      <c r="B299" s="5" t="s">
        <v>57</v>
      </c>
      <c r="C299" s="5" t="s">
        <v>477</v>
      </c>
      <c r="D299" s="6">
        <v>45434.0</v>
      </c>
      <c r="E299" s="3"/>
      <c r="F299" s="3">
        <v>55212.0</v>
      </c>
      <c r="G299" s="3">
        <v>0.0</v>
      </c>
      <c r="H299" s="3">
        <v>4969.0</v>
      </c>
      <c r="I299" s="3">
        <v>4969.0</v>
      </c>
      <c r="J299" s="7">
        <f t="shared" si="1"/>
        <v>9938</v>
      </c>
      <c r="K299" s="3"/>
      <c r="L299" s="3" t="str">
        <f t="shared" si="2"/>
        <v>27AAACB2900K1ZZ-4320293866-22052024</v>
      </c>
      <c r="M299" s="8">
        <f t="shared" si="7"/>
        <v>17.99971021</v>
      </c>
      <c r="N299" s="3" t="str">
        <f t="shared" si="4"/>
        <v/>
      </c>
      <c r="O299" s="9" t="str">
        <f t="shared" si="5"/>
        <v/>
      </c>
      <c r="P299" s="3" t="str">
        <f t="shared" si="6"/>
        <v/>
      </c>
      <c r="Q299" s="3"/>
    </row>
    <row r="300" ht="15.75" customHeight="1">
      <c r="A300" s="4" t="s">
        <v>56</v>
      </c>
      <c r="B300" s="5" t="s">
        <v>57</v>
      </c>
      <c r="C300" s="5" t="s">
        <v>478</v>
      </c>
      <c r="D300" s="6">
        <v>45434.0</v>
      </c>
      <c r="E300" s="3"/>
      <c r="F300" s="3">
        <v>90882.0</v>
      </c>
      <c r="G300" s="3">
        <v>0.0</v>
      </c>
      <c r="H300" s="3">
        <v>8179.0</v>
      </c>
      <c r="I300" s="3">
        <v>8179.0</v>
      </c>
      <c r="J300" s="7">
        <f t="shared" si="1"/>
        <v>16358</v>
      </c>
      <c r="K300" s="3"/>
      <c r="L300" s="3" t="str">
        <f t="shared" si="2"/>
        <v>27AAACB2900K1ZZ-4320293877-22052024</v>
      </c>
      <c r="M300" s="8">
        <f t="shared" si="7"/>
        <v>17.99916375</v>
      </c>
      <c r="N300" s="3" t="str">
        <f t="shared" si="4"/>
        <v/>
      </c>
      <c r="O300" s="9" t="str">
        <f t="shared" si="5"/>
        <v/>
      </c>
      <c r="P300" s="3" t="str">
        <f t="shared" si="6"/>
        <v/>
      </c>
      <c r="Q300" s="3"/>
    </row>
    <row r="301" ht="15.75" customHeight="1">
      <c r="A301" s="4" t="s">
        <v>94</v>
      </c>
      <c r="B301" s="5" t="s">
        <v>95</v>
      </c>
      <c r="C301" s="5" t="s">
        <v>479</v>
      </c>
      <c r="D301" s="6">
        <v>45434.0</v>
      </c>
      <c r="E301" s="3"/>
      <c r="F301" s="3">
        <v>7577.05</v>
      </c>
      <c r="G301" s="3">
        <v>0.0</v>
      </c>
      <c r="H301" s="3">
        <v>647.73</v>
      </c>
      <c r="I301" s="3">
        <v>647.73</v>
      </c>
      <c r="J301" s="7">
        <f t="shared" si="1"/>
        <v>1295.46</v>
      </c>
      <c r="K301" s="3"/>
      <c r="L301" s="3" t="str">
        <f t="shared" si="2"/>
        <v>27ABSPP9163G1ZY-28-22052024</v>
      </c>
      <c r="M301" s="8">
        <f t="shared" si="7"/>
        <v>17.09715523</v>
      </c>
      <c r="N301" s="3" t="str">
        <f t="shared" si="4"/>
        <v/>
      </c>
      <c r="O301" s="9" t="str">
        <f t="shared" si="5"/>
        <v/>
      </c>
      <c r="P301" s="3" t="str">
        <f t="shared" si="6"/>
        <v/>
      </c>
      <c r="Q301" s="3"/>
    </row>
    <row r="302" ht="15.75" customHeight="1">
      <c r="A302" s="4" t="s">
        <v>25</v>
      </c>
      <c r="B302" s="5" t="s">
        <v>26</v>
      </c>
      <c r="C302" s="5" t="s">
        <v>480</v>
      </c>
      <c r="D302" s="6">
        <v>45434.0</v>
      </c>
      <c r="E302" s="3"/>
      <c r="F302" s="3">
        <v>8343.0</v>
      </c>
      <c r="G302" s="3">
        <v>0.0</v>
      </c>
      <c r="H302" s="3">
        <v>500.58</v>
      </c>
      <c r="I302" s="3">
        <v>500.58</v>
      </c>
      <c r="J302" s="7">
        <f t="shared" si="1"/>
        <v>1001.16</v>
      </c>
      <c r="K302" s="3"/>
      <c r="L302" s="3" t="str">
        <f t="shared" si="2"/>
        <v>27ADJPV3549B2ZC-193/24-25-22052024</v>
      </c>
      <c r="M302" s="8">
        <f t="shared" si="7"/>
        <v>12</v>
      </c>
      <c r="N302" s="3" t="str">
        <f t="shared" si="4"/>
        <v/>
      </c>
      <c r="O302" s="9" t="str">
        <f t="shared" si="5"/>
        <v/>
      </c>
      <c r="P302" s="3" t="str">
        <f t="shared" si="6"/>
        <v/>
      </c>
      <c r="Q302" s="3"/>
    </row>
    <row r="303" ht="15.75" customHeight="1">
      <c r="A303" s="4" t="s">
        <v>103</v>
      </c>
      <c r="B303" s="5" t="s">
        <v>104</v>
      </c>
      <c r="C303" s="5" t="s">
        <v>481</v>
      </c>
      <c r="D303" s="6">
        <v>45434.0</v>
      </c>
      <c r="E303" s="3"/>
      <c r="F303" s="3">
        <v>5800.0</v>
      </c>
      <c r="G303" s="3">
        <v>0.0</v>
      </c>
      <c r="H303" s="3">
        <v>0.0</v>
      </c>
      <c r="I303" s="3">
        <v>0.0</v>
      </c>
      <c r="J303" s="7">
        <f t="shared" si="1"/>
        <v>0</v>
      </c>
      <c r="K303" s="3"/>
      <c r="L303" s="3" t="str">
        <f t="shared" si="2"/>
        <v>27AAACT7966R1ZB-647941976-22052024</v>
      </c>
      <c r="M303" s="8">
        <f t="shared" si="7"/>
        <v>0</v>
      </c>
      <c r="N303" s="3" t="str">
        <f t="shared" si="4"/>
        <v/>
      </c>
      <c r="O303" s="9" t="str">
        <f t="shared" si="5"/>
        <v/>
      </c>
      <c r="P303" s="3" t="str">
        <f t="shared" si="6"/>
        <v/>
      </c>
      <c r="Q303" s="3"/>
    </row>
    <row r="304" ht="15.75" customHeight="1">
      <c r="A304" s="4" t="s">
        <v>73</v>
      </c>
      <c r="B304" s="5" t="s">
        <v>74</v>
      </c>
      <c r="C304" s="5" t="s">
        <v>482</v>
      </c>
      <c r="D304" s="6">
        <v>45435.0</v>
      </c>
      <c r="E304" s="3"/>
      <c r="F304" s="3">
        <v>5200.0</v>
      </c>
      <c r="G304" s="3">
        <v>0.0</v>
      </c>
      <c r="H304" s="3">
        <v>468.0</v>
      </c>
      <c r="I304" s="3">
        <v>468.0</v>
      </c>
      <c r="J304" s="7">
        <f t="shared" si="1"/>
        <v>936</v>
      </c>
      <c r="K304" s="3"/>
      <c r="L304" s="3" t="str">
        <f t="shared" si="2"/>
        <v>27ADXFS5568H1Z4-SRE/1612/24-25-23052024</v>
      </c>
      <c r="M304" s="8">
        <f t="shared" si="7"/>
        <v>18</v>
      </c>
      <c r="N304" s="3" t="str">
        <f t="shared" si="4"/>
        <v/>
      </c>
      <c r="O304" s="9" t="str">
        <f t="shared" si="5"/>
        <v/>
      </c>
      <c r="P304" s="3" t="str">
        <f t="shared" si="6"/>
        <v/>
      </c>
      <c r="Q304" s="3"/>
    </row>
    <row r="305" ht="15.75" customHeight="1">
      <c r="A305" s="4" t="s">
        <v>431</v>
      </c>
      <c r="B305" s="5" t="s">
        <v>432</v>
      </c>
      <c r="C305" s="5" t="s">
        <v>483</v>
      </c>
      <c r="D305" s="6">
        <v>45436.0</v>
      </c>
      <c r="E305" s="3"/>
      <c r="F305" s="3">
        <v>1875.0</v>
      </c>
      <c r="G305" s="3">
        <v>0.0</v>
      </c>
      <c r="H305" s="3">
        <v>168.75</v>
      </c>
      <c r="I305" s="3">
        <v>168.75</v>
      </c>
      <c r="J305" s="7">
        <f t="shared" si="1"/>
        <v>337.5</v>
      </c>
      <c r="K305" s="3"/>
      <c r="L305" s="3" t="str">
        <f t="shared" si="2"/>
        <v>27ARCPS9021Q1Z4-24-25/0299-24052024</v>
      </c>
      <c r="M305" s="8">
        <f t="shared" si="7"/>
        <v>18</v>
      </c>
      <c r="N305" s="3" t="str">
        <f t="shared" si="4"/>
        <v/>
      </c>
      <c r="O305" s="9" t="str">
        <f t="shared" si="5"/>
        <v/>
      </c>
      <c r="P305" s="3" t="str">
        <f t="shared" si="6"/>
        <v/>
      </c>
      <c r="Q305" s="3"/>
    </row>
    <row r="306" ht="15.75" customHeight="1">
      <c r="A306" s="4" t="s">
        <v>56</v>
      </c>
      <c r="B306" s="5" t="s">
        <v>57</v>
      </c>
      <c r="C306" s="5" t="s">
        <v>484</v>
      </c>
      <c r="D306" s="6">
        <v>45437.0</v>
      </c>
      <c r="E306" s="3"/>
      <c r="F306" s="3">
        <v>33118.0</v>
      </c>
      <c r="G306" s="3">
        <v>0.0</v>
      </c>
      <c r="H306" s="3">
        <v>2981.0</v>
      </c>
      <c r="I306" s="3">
        <v>2981.0</v>
      </c>
      <c r="J306" s="7">
        <f t="shared" si="1"/>
        <v>5962</v>
      </c>
      <c r="K306" s="3"/>
      <c r="L306" s="3" t="str">
        <f t="shared" si="2"/>
        <v>27AAACB2900K1ZZ-4320294176-25052024</v>
      </c>
      <c r="M306" s="8">
        <f t="shared" si="7"/>
        <v>18.00229482</v>
      </c>
      <c r="N306" s="3" t="str">
        <f t="shared" si="4"/>
        <v/>
      </c>
      <c r="O306" s="9" t="str">
        <f t="shared" si="5"/>
        <v/>
      </c>
      <c r="P306" s="3" t="str">
        <f t="shared" si="6"/>
        <v/>
      </c>
      <c r="Q306" s="3"/>
    </row>
    <row r="307" ht="15.75" customHeight="1">
      <c r="A307" s="4" t="s">
        <v>38</v>
      </c>
      <c r="B307" s="5" t="s">
        <v>39</v>
      </c>
      <c r="C307" s="5" t="s">
        <v>485</v>
      </c>
      <c r="D307" s="6">
        <v>45437.0</v>
      </c>
      <c r="E307" s="3"/>
      <c r="F307" s="3">
        <v>3800.0</v>
      </c>
      <c r="G307" s="3">
        <v>0.0</v>
      </c>
      <c r="H307" s="3">
        <v>228.0</v>
      </c>
      <c r="I307" s="3">
        <v>228.0</v>
      </c>
      <c r="J307" s="7">
        <f t="shared" si="1"/>
        <v>456</v>
      </c>
      <c r="K307" s="3"/>
      <c r="L307" s="3" t="str">
        <f t="shared" si="2"/>
        <v>27AOVPP9192F2Z0-290-25052024</v>
      </c>
      <c r="M307" s="8">
        <f t="shared" si="7"/>
        <v>12</v>
      </c>
      <c r="N307" s="3" t="str">
        <f t="shared" si="4"/>
        <v/>
      </c>
      <c r="O307" s="9" t="str">
        <f t="shared" si="5"/>
        <v/>
      </c>
      <c r="P307" s="3" t="str">
        <f t="shared" si="6"/>
        <v/>
      </c>
      <c r="Q307" s="3"/>
    </row>
    <row r="308" ht="15.75" customHeight="1">
      <c r="A308" s="4" t="s">
        <v>41</v>
      </c>
      <c r="B308" s="5" t="s">
        <v>42</v>
      </c>
      <c r="C308" s="5" t="s">
        <v>486</v>
      </c>
      <c r="D308" s="6">
        <v>45438.0</v>
      </c>
      <c r="E308" s="3"/>
      <c r="F308" s="3">
        <v>780.0</v>
      </c>
      <c r="G308" s="3">
        <v>0.0</v>
      </c>
      <c r="H308" s="3">
        <v>70.2</v>
      </c>
      <c r="I308" s="3">
        <v>70.2</v>
      </c>
      <c r="J308" s="7">
        <f t="shared" si="1"/>
        <v>140.4</v>
      </c>
      <c r="K308" s="3"/>
      <c r="L308" s="3" t="str">
        <f t="shared" si="2"/>
        <v>27AACCA4768Q1Z0-391-26052024</v>
      </c>
      <c r="M308" s="8">
        <f t="shared" si="7"/>
        <v>18</v>
      </c>
      <c r="N308" s="3" t="str">
        <f t="shared" si="4"/>
        <v/>
      </c>
      <c r="O308" s="9" t="str">
        <f t="shared" si="5"/>
        <v/>
      </c>
      <c r="P308" s="3" t="str">
        <f t="shared" si="6"/>
        <v/>
      </c>
      <c r="Q308" s="3"/>
    </row>
    <row r="309" ht="15.75" customHeight="1">
      <c r="A309" s="4" t="s">
        <v>169</v>
      </c>
      <c r="B309" s="5" t="s">
        <v>170</v>
      </c>
      <c r="C309" s="5" t="s">
        <v>487</v>
      </c>
      <c r="D309" s="6">
        <v>45439.0</v>
      </c>
      <c r="E309" s="3"/>
      <c r="F309" s="3">
        <v>2370.0</v>
      </c>
      <c r="G309" s="3">
        <v>0.0</v>
      </c>
      <c r="H309" s="3">
        <v>213.3</v>
      </c>
      <c r="I309" s="3">
        <v>213.3</v>
      </c>
      <c r="J309" s="7">
        <f t="shared" si="1"/>
        <v>426.6</v>
      </c>
      <c r="K309" s="3"/>
      <c r="L309" s="3" t="str">
        <f t="shared" si="2"/>
        <v>27ADJPR1065Q1ZV-SMI/340/24-25-27052024</v>
      </c>
      <c r="M309" s="8">
        <f t="shared" si="7"/>
        <v>18</v>
      </c>
      <c r="N309" s="3" t="str">
        <f t="shared" si="4"/>
        <v/>
      </c>
      <c r="O309" s="9" t="str">
        <f t="shared" si="5"/>
        <v/>
      </c>
      <c r="P309" s="3" t="str">
        <f t="shared" si="6"/>
        <v/>
      </c>
      <c r="Q309" s="3"/>
    </row>
    <row r="310" ht="15.75" customHeight="1">
      <c r="A310" s="4" t="s">
        <v>56</v>
      </c>
      <c r="B310" s="5" t="s">
        <v>57</v>
      </c>
      <c r="C310" s="5" t="s">
        <v>488</v>
      </c>
      <c r="D310" s="6">
        <v>45439.0</v>
      </c>
      <c r="E310" s="3"/>
      <c r="F310" s="3">
        <v>16800.0</v>
      </c>
      <c r="G310" s="3">
        <v>0.0</v>
      </c>
      <c r="H310" s="3">
        <v>1512.0</v>
      </c>
      <c r="I310" s="3">
        <v>1512.0</v>
      </c>
      <c r="J310" s="7">
        <f t="shared" si="1"/>
        <v>3024</v>
      </c>
      <c r="K310" s="3"/>
      <c r="L310" s="3" t="str">
        <f t="shared" si="2"/>
        <v>27AAACB2900K1ZZ-4320294236-27052024</v>
      </c>
      <c r="M310" s="8">
        <f t="shared" si="7"/>
        <v>18</v>
      </c>
      <c r="N310" s="3" t="str">
        <f t="shared" si="4"/>
        <v/>
      </c>
      <c r="O310" s="9" t="str">
        <f t="shared" si="5"/>
        <v/>
      </c>
      <c r="P310" s="3" t="str">
        <f t="shared" si="6"/>
        <v/>
      </c>
      <c r="Q310" s="3"/>
    </row>
    <row r="311" ht="15.75" customHeight="1">
      <c r="A311" s="4" t="s">
        <v>154</v>
      </c>
      <c r="B311" s="5" t="s">
        <v>155</v>
      </c>
      <c r="C311" s="5" t="s">
        <v>489</v>
      </c>
      <c r="D311" s="6">
        <v>45439.0</v>
      </c>
      <c r="E311" s="3"/>
      <c r="F311" s="3">
        <v>15820.75</v>
      </c>
      <c r="G311" s="3">
        <v>0.0</v>
      </c>
      <c r="H311" s="3">
        <v>1423.87</v>
      </c>
      <c r="I311" s="3">
        <v>1423.87</v>
      </c>
      <c r="J311" s="7">
        <f t="shared" si="1"/>
        <v>2847.74</v>
      </c>
      <c r="K311" s="3"/>
      <c r="L311" s="3" t="str">
        <f t="shared" si="2"/>
        <v>27AACFE6426A1ZW-250458-27052024</v>
      </c>
      <c r="M311" s="8">
        <f t="shared" si="7"/>
        <v>18.0000316</v>
      </c>
      <c r="N311" s="3" t="str">
        <f t="shared" si="4"/>
        <v/>
      </c>
      <c r="O311" s="9" t="str">
        <f t="shared" si="5"/>
        <v/>
      </c>
      <c r="P311" s="3" t="str">
        <f t="shared" si="6"/>
        <v/>
      </c>
      <c r="Q311" s="3"/>
    </row>
    <row r="312" ht="15.75" customHeight="1">
      <c r="A312" s="4" t="s">
        <v>97</v>
      </c>
      <c r="B312" s="5" t="s">
        <v>98</v>
      </c>
      <c r="C312" s="5" t="s">
        <v>490</v>
      </c>
      <c r="D312" s="6">
        <v>45439.0</v>
      </c>
      <c r="E312" s="3"/>
      <c r="F312" s="3">
        <v>820.2</v>
      </c>
      <c r="G312" s="3">
        <v>0.0</v>
      </c>
      <c r="H312" s="3">
        <v>73.82</v>
      </c>
      <c r="I312" s="3">
        <v>73.82</v>
      </c>
      <c r="J312" s="7">
        <f t="shared" si="1"/>
        <v>147.64</v>
      </c>
      <c r="K312" s="3"/>
      <c r="L312" s="3" t="str">
        <f t="shared" si="2"/>
        <v>27CBSPS4453E1Z6-2024-25/MAY303-27052024</v>
      </c>
      <c r="M312" s="8">
        <f t="shared" si="7"/>
        <v>18.00048769</v>
      </c>
      <c r="N312" s="3" t="str">
        <f t="shared" si="4"/>
        <v/>
      </c>
      <c r="O312" s="9" t="str">
        <f t="shared" si="5"/>
        <v/>
      </c>
      <c r="P312" s="3" t="str">
        <f t="shared" si="6"/>
        <v/>
      </c>
      <c r="Q312" s="3"/>
    </row>
    <row r="313" ht="15.75" customHeight="1">
      <c r="A313" s="4" t="s">
        <v>491</v>
      </c>
      <c r="B313" s="5" t="s">
        <v>492</v>
      </c>
      <c r="C313" s="5" t="s">
        <v>493</v>
      </c>
      <c r="D313" s="6">
        <v>45439.0</v>
      </c>
      <c r="E313" s="3"/>
      <c r="F313" s="3">
        <v>21912.6</v>
      </c>
      <c r="G313" s="3">
        <v>0.0</v>
      </c>
      <c r="H313" s="3">
        <v>1972.13</v>
      </c>
      <c r="I313" s="3">
        <v>1972.13</v>
      </c>
      <c r="J313" s="7">
        <f t="shared" si="1"/>
        <v>3944.26</v>
      </c>
      <c r="K313" s="3"/>
      <c r="L313" s="3" t="str">
        <f t="shared" si="2"/>
        <v>27CITPA5056K1ZU-NMI/24-25/0276-27052024</v>
      </c>
      <c r="M313" s="8">
        <f t="shared" si="7"/>
        <v>17.99996349</v>
      </c>
      <c r="N313" s="3" t="str">
        <f t="shared" si="4"/>
        <v/>
      </c>
      <c r="O313" s="9" t="str">
        <f t="shared" si="5"/>
        <v/>
      </c>
      <c r="P313" s="3" t="str">
        <f t="shared" si="6"/>
        <v/>
      </c>
      <c r="Q313" s="3"/>
    </row>
    <row r="314" ht="15.75" customHeight="1">
      <c r="A314" s="4" t="s">
        <v>73</v>
      </c>
      <c r="B314" s="5" t="s">
        <v>74</v>
      </c>
      <c r="C314" s="5" t="s">
        <v>494</v>
      </c>
      <c r="D314" s="6">
        <v>45439.0</v>
      </c>
      <c r="E314" s="3"/>
      <c r="F314" s="3">
        <v>6600.0</v>
      </c>
      <c r="G314" s="3">
        <v>0.0</v>
      </c>
      <c r="H314" s="3">
        <v>594.0</v>
      </c>
      <c r="I314" s="3">
        <v>594.0</v>
      </c>
      <c r="J314" s="7">
        <f t="shared" si="1"/>
        <v>1188</v>
      </c>
      <c r="K314" s="3"/>
      <c r="L314" s="3" t="str">
        <f t="shared" si="2"/>
        <v>27ADXFS5568H1Z4-SRE/1726/24-25-27052024</v>
      </c>
      <c r="M314" s="8">
        <f t="shared" si="7"/>
        <v>18</v>
      </c>
      <c r="N314" s="3" t="str">
        <f t="shared" si="4"/>
        <v/>
      </c>
      <c r="O314" s="9" t="str">
        <f t="shared" si="5"/>
        <v/>
      </c>
      <c r="P314" s="3" t="str">
        <f t="shared" si="6"/>
        <v/>
      </c>
      <c r="Q314" s="3"/>
    </row>
    <row r="315" ht="15.75" customHeight="1">
      <c r="A315" s="4" t="s">
        <v>263</v>
      </c>
      <c r="B315" s="5" t="s">
        <v>264</v>
      </c>
      <c r="C315" s="5" t="s">
        <v>495</v>
      </c>
      <c r="D315" s="6">
        <v>45439.0</v>
      </c>
      <c r="E315" s="3"/>
      <c r="F315" s="3">
        <v>999.0</v>
      </c>
      <c r="G315" s="3">
        <v>0.0</v>
      </c>
      <c r="H315" s="3">
        <v>89.91</v>
      </c>
      <c r="I315" s="3">
        <v>89.91</v>
      </c>
      <c r="J315" s="7">
        <f t="shared" si="1"/>
        <v>179.82</v>
      </c>
      <c r="K315" s="3"/>
      <c r="L315" s="3" t="str">
        <f t="shared" si="2"/>
        <v>27AAACB2894G1ZN-HT2527I001980812-27052024</v>
      </c>
      <c r="M315" s="8">
        <f t="shared" si="7"/>
        <v>18</v>
      </c>
      <c r="N315" s="3" t="str">
        <f t="shared" si="4"/>
        <v/>
      </c>
      <c r="O315" s="9" t="str">
        <f t="shared" si="5"/>
        <v/>
      </c>
      <c r="P315" s="3" t="str">
        <f t="shared" si="6"/>
        <v/>
      </c>
      <c r="Q315" s="3"/>
    </row>
    <row r="316" ht="15.75" customHeight="1">
      <c r="A316" s="4" t="s">
        <v>38</v>
      </c>
      <c r="B316" s="5" t="s">
        <v>39</v>
      </c>
      <c r="C316" s="5" t="s">
        <v>496</v>
      </c>
      <c r="D316" s="6">
        <v>45440.0</v>
      </c>
      <c r="E316" s="3"/>
      <c r="F316" s="3">
        <v>2926.0</v>
      </c>
      <c r="G316" s="3">
        <v>0.0</v>
      </c>
      <c r="H316" s="3">
        <v>175.56</v>
      </c>
      <c r="I316" s="3">
        <v>175.56</v>
      </c>
      <c r="J316" s="7">
        <f t="shared" si="1"/>
        <v>351.12</v>
      </c>
      <c r="K316" s="3"/>
      <c r="L316" s="3" t="str">
        <f t="shared" si="2"/>
        <v>27AOVPP9192F2Z0-294-28052024</v>
      </c>
      <c r="M316" s="8">
        <f t="shared" si="7"/>
        <v>12</v>
      </c>
      <c r="N316" s="3" t="str">
        <f t="shared" si="4"/>
        <v/>
      </c>
      <c r="O316" s="9" t="str">
        <f t="shared" si="5"/>
        <v/>
      </c>
      <c r="P316" s="3" t="str">
        <f t="shared" si="6"/>
        <v/>
      </c>
      <c r="Q316" s="3"/>
    </row>
    <row r="317" ht="15.75" customHeight="1">
      <c r="A317" s="4" t="s">
        <v>225</v>
      </c>
      <c r="B317" s="5" t="s">
        <v>226</v>
      </c>
      <c r="C317" s="5" t="s">
        <v>497</v>
      </c>
      <c r="D317" s="6">
        <v>45440.0</v>
      </c>
      <c r="E317" s="3"/>
      <c r="F317" s="3">
        <v>9046.4</v>
      </c>
      <c r="G317" s="3">
        <v>0.0</v>
      </c>
      <c r="H317" s="3">
        <v>814.18</v>
      </c>
      <c r="I317" s="3">
        <v>814.18</v>
      </c>
      <c r="J317" s="7">
        <f t="shared" si="1"/>
        <v>1628.36</v>
      </c>
      <c r="K317" s="3"/>
      <c r="L317" s="3" t="str">
        <f t="shared" si="2"/>
        <v>27AAFFM6083Q1ZJ-1094-28052024</v>
      </c>
      <c r="M317" s="8">
        <f t="shared" si="7"/>
        <v>18.00008843</v>
      </c>
      <c r="N317" s="3" t="str">
        <f t="shared" si="4"/>
        <v/>
      </c>
      <c r="O317" s="9" t="str">
        <f t="shared" si="5"/>
        <v/>
      </c>
      <c r="P317" s="3" t="str">
        <f t="shared" si="6"/>
        <v/>
      </c>
      <c r="Q317" s="3"/>
    </row>
    <row r="318" ht="15.75" customHeight="1">
      <c r="A318" s="4" t="s">
        <v>355</v>
      </c>
      <c r="B318" s="5" t="s">
        <v>356</v>
      </c>
      <c r="C318" s="5" t="s">
        <v>498</v>
      </c>
      <c r="D318" s="6">
        <v>45441.0</v>
      </c>
      <c r="E318" s="3"/>
      <c r="F318" s="3">
        <v>550.0</v>
      </c>
      <c r="G318" s="3">
        <v>0.0</v>
      </c>
      <c r="H318" s="3">
        <v>49.5</v>
      </c>
      <c r="I318" s="3">
        <v>49.5</v>
      </c>
      <c r="J318" s="7">
        <f t="shared" si="1"/>
        <v>99</v>
      </c>
      <c r="K318" s="3"/>
      <c r="L318" s="3" t="str">
        <f t="shared" si="2"/>
        <v>27AADPJ1094L1ZK-00162-29052024</v>
      </c>
      <c r="M318" s="8">
        <f t="shared" si="7"/>
        <v>18</v>
      </c>
      <c r="N318" s="3" t="str">
        <f t="shared" si="4"/>
        <v/>
      </c>
      <c r="O318" s="9" t="str">
        <f t="shared" si="5"/>
        <v/>
      </c>
      <c r="P318" s="3" t="str">
        <f t="shared" si="6"/>
        <v/>
      </c>
      <c r="Q318" s="3"/>
    </row>
    <row r="319" ht="15.75" customHeight="1">
      <c r="A319" s="4" t="s">
        <v>69</v>
      </c>
      <c r="B319" s="5" t="s">
        <v>70</v>
      </c>
      <c r="C319" s="5" t="s">
        <v>499</v>
      </c>
      <c r="D319" s="6">
        <v>45441.0</v>
      </c>
      <c r="E319" s="3"/>
      <c r="F319" s="3">
        <v>6222.6</v>
      </c>
      <c r="G319" s="3">
        <v>0.0</v>
      </c>
      <c r="H319" s="3">
        <v>560.03</v>
      </c>
      <c r="I319" s="3">
        <v>560.03</v>
      </c>
      <c r="J319" s="7">
        <f t="shared" si="1"/>
        <v>1120.06</v>
      </c>
      <c r="K319" s="3"/>
      <c r="L319" s="3" t="str">
        <f t="shared" si="2"/>
        <v>27AAEFR8996A1ZU-960/24-25-29052024</v>
      </c>
      <c r="M319" s="8">
        <f t="shared" si="7"/>
        <v>17.99987144</v>
      </c>
      <c r="N319" s="3" t="str">
        <f t="shared" si="4"/>
        <v/>
      </c>
      <c r="O319" s="9" t="str">
        <f t="shared" si="5"/>
        <v/>
      </c>
      <c r="P319" s="3" t="str">
        <f t="shared" si="6"/>
        <v/>
      </c>
      <c r="Q319" s="3"/>
    </row>
    <row r="320" ht="15.75" customHeight="1">
      <c r="A320" s="4" t="s">
        <v>44</v>
      </c>
      <c r="B320" s="5" t="s">
        <v>45</v>
      </c>
      <c r="C320" s="5" t="s">
        <v>500</v>
      </c>
      <c r="D320" s="6">
        <v>45441.0</v>
      </c>
      <c r="E320" s="3"/>
      <c r="F320" s="3">
        <v>3736.8</v>
      </c>
      <c r="G320" s="3">
        <v>0.0</v>
      </c>
      <c r="H320" s="3">
        <v>336.31</v>
      </c>
      <c r="I320" s="3">
        <v>336.31</v>
      </c>
      <c r="J320" s="7">
        <f t="shared" si="1"/>
        <v>672.62</v>
      </c>
      <c r="K320" s="3"/>
      <c r="L320" s="3" t="str">
        <f t="shared" si="2"/>
        <v>27BAEPA9590G1ZL-BWND/24-25/484-29052024</v>
      </c>
      <c r="M320" s="8">
        <f t="shared" si="7"/>
        <v>17.99989296</v>
      </c>
      <c r="N320" s="3" t="str">
        <f t="shared" si="4"/>
        <v/>
      </c>
      <c r="O320" s="9" t="str">
        <f t="shared" si="5"/>
        <v/>
      </c>
      <c r="P320" s="3" t="str">
        <f t="shared" si="6"/>
        <v/>
      </c>
      <c r="Q320" s="3"/>
    </row>
    <row r="321" ht="15.75" customHeight="1">
      <c r="A321" s="4" t="s">
        <v>76</v>
      </c>
      <c r="B321" s="5" t="s">
        <v>77</v>
      </c>
      <c r="C321" s="5" t="s">
        <v>501</v>
      </c>
      <c r="D321" s="6">
        <v>45441.0</v>
      </c>
      <c r="E321" s="3"/>
      <c r="F321" s="3">
        <v>1357.2</v>
      </c>
      <c r="G321" s="3">
        <v>0.0</v>
      </c>
      <c r="H321" s="3">
        <v>122.15</v>
      </c>
      <c r="I321" s="3">
        <v>122.15</v>
      </c>
      <c r="J321" s="7">
        <f t="shared" si="1"/>
        <v>244.3</v>
      </c>
      <c r="K321" s="3"/>
      <c r="L321" s="3" t="str">
        <f t="shared" si="2"/>
        <v>27AAVFK8826F1ZP-KPAS/24-25/1622-29052024</v>
      </c>
      <c r="M321" s="8">
        <f t="shared" si="7"/>
        <v>18.00029472</v>
      </c>
      <c r="N321" s="3" t="str">
        <f t="shared" si="4"/>
        <v/>
      </c>
      <c r="O321" s="9" t="str">
        <f t="shared" si="5"/>
        <v/>
      </c>
      <c r="P321" s="3" t="str">
        <f t="shared" si="6"/>
        <v/>
      </c>
      <c r="Q321" s="3"/>
    </row>
    <row r="322" ht="15.75" customHeight="1">
      <c r="A322" s="4" t="s">
        <v>50</v>
      </c>
      <c r="B322" s="5" t="s">
        <v>51</v>
      </c>
      <c r="C322" s="5" t="s">
        <v>502</v>
      </c>
      <c r="D322" s="6">
        <v>45441.0</v>
      </c>
      <c r="E322" s="3"/>
      <c r="F322" s="3">
        <v>20300.0</v>
      </c>
      <c r="G322" s="3">
        <v>0.0</v>
      </c>
      <c r="H322" s="3">
        <v>1827.0</v>
      </c>
      <c r="I322" s="3">
        <v>1827.0</v>
      </c>
      <c r="J322" s="7">
        <f t="shared" si="1"/>
        <v>3654</v>
      </c>
      <c r="K322" s="3"/>
      <c r="L322" s="3" t="str">
        <f t="shared" si="2"/>
        <v>27AAPPS9140J1Z0-1165/2024-25-29052024</v>
      </c>
      <c r="M322" s="8">
        <f t="shared" si="7"/>
        <v>18</v>
      </c>
      <c r="N322" s="3" t="str">
        <f t="shared" si="4"/>
        <v/>
      </c>
      <c r="O322" s="9" t="str">
        <f t="shared" si="5"/>
        <v/>
      </c>
      <c r="P322" s="3" t="str">
        <f t="shared" si="6"/>
        <v/>
      </c>
      <c r="Q322" s="3"/>
    </row>
    <row r="323" ht="15.75" customHeight="1">
      <c r="A323" s="4" t="s">
        <v>459</v>
      </c>
      <c r="B323" s="5" t="s">
        <v>460</v>
      </c>
      <c r="C323" s="5" t="s">
        <v>503</v>
      </c>
      <c r="D323" s="6">
        <v>45441.0</v>
      </c>
      <c r="E323" s="3"/>
      <c r="F323" s="3">
        <v>1305.0</v>
      </c>
      <c r="G323" s="3">
        <v>0.0</v>
      </c>
      <c r="H323" s="3">
        <v>117.45</v>
      </c>
      <c r="I323" s="3">
        <v>117.45</v>
      </c>
      <c r="J323" s="7">
        <f t="shared" si="1"/>
        <v>234.9</v>
      </c>
      <c r="K323" s="3"/>
      <c r="L323" s="3" t="str">
        <f t="shared" si="2"/>
        <v>27AHHPD3176G1ZG-24/25-1252-29052024</v>
      </c>
      <c r="M323" s="8">
        <f t="shared" si="7"/>
        <v>18</v>
      </c>
      <c r="N323" s="3" t="str">
        <f t="shared" si="4"/>
        <v/>
      </c>
      <c r="O323" s="9" t="str">
        <f t="shared" si="5"/>
        <v/>
      </c>
      <c r="P323" s="3" t="str">
        <f t="shared" si="6"/>
        <v/>
      </c>
      <c r="Q323" s="3"/>
    </row>
    <row r="324" ht="15.75" customHeight="1">
      <c r="A324" s="4" t="s">
        <v>139</v>
      </c>
      <c r="B324" s="5" t="s">
        <v>140</v>
      </c>
      <c r="C324" s="5" t="s">
        <v>504</v>
      </c>
      <c r="D324" s="6">
        <v>45441.0</v>
      </c>
      <c r="E324" s="3"/>
      <c r="F324" s="3">
        <v>1900.0</v>
      </c>
      <c r="G324" s="3">
        <v>0.0</v>
      </c>
      <c r="H324" s="3">
        <v>171.0</v>
      </c>
      <c r="I324" s="3">
        <v>171.0</v>
      </c>
      <c r="J324" s="7">
        <f t="shared" si="1"/>
        <v>342</v>
      </c>
      <c r="K324" s="3"/>
      <c r="L324" s="3" t="str">
        <f t="shared" si="2"/>
        <v>27AAAFU1306P1Z2-7062-29052024</v>
      </c>
      <c r="M324" s="8">
        <f t="shared" si="7"/>
        <v>18</v>
      </c>
      <c r="N324" s="3" t="str">
        <f t="shared" si="4"/>
        <v/>
      </c>
      <c r="O324" s="9" t="str">
        <f t="shared" si="5"/>
        <v/>
      </c>
      <c r="P324" s="3" t="str">
        <f t="shared" si="6"/>
        <v/>
      </c>
      <c r="Q324" s="3"/>
    </row>
    <row r="325" ht="15.75" customHeight="1">
      <c r="A325" s="4" t="s">
        <v>165</v>
      </c>
      <c r="B325" s="5" t="s">
        <v>166</v>
      </c>
      <c r="C325" s="5" t="s">
        <v>505</v>
      </c>
      <c r="D325" s="6">
        <v>45441.0</v>
      </c>
      <c r="E325" s="3"/>
      <c r="F325" s="3">
        <v>1740.0</v>
      </c>
      <c r="G325" s="3">
        <v>0.0</v>
      </c>
      <c r="H325" s="3">
        <v>104.4</v>
      </c>
      <c r="I325" s="3">
        <v>104.4</v>
      </c>
      <c r="J325" s="7">
        <f t="shared" si="1"/>
        <v>208.8</v>
      </c>
      <c r="K325" s="3"/>
      <c r="L325" s="3" t="str">
        <f t="shared" si="2"/>
        <v>27AAPPH6742M2Z2-ME/827/2024-25-29052024</v>
      </c>
      <c r="M325" s="8">
        <f t="shared" si="7"/>
        <v>12</v>
      </c>
      <c r="N325" s="3" t="str">
        <f t="shared" si="4"/>
        <v/>
      </c>
      <c r="O325" s="9" t="str">
        <f t="shared" si="5"/>
        <v/>
      </c>
      <c r="P325" s="3" t="str">
        <f t="shared" si="6"/>
        <v/>
      </c>
      <c r="Q325" s="3"/>
    </row>
    <row r="326" ht="15.75" customHeight="1">
      <c r="A326" s="4" t="s">
        <v>169</v>
      </c>
      <c r="B326" s="5" t="s">
        <v>170</v>
      </c>
      <c r="C326" s="5" t="s">
        <v>506</v>
      </c>
      <c r="D326" s="6">
        <v>45442.0</v>
      </c>
      <c r="E326" s="3"/>
      <c r="F326" s="3">
        <v>1800.0</v>
      </c>
      <c r="G326" s="3">
        <v>0.0</v>
      </c>
      <c r="H326" s="3">
        <v>162.0</v>
      </c>
      <c r="I326" s="3">
        <v>162.0</v>
      </c>
      <c r="J326" s="7">
        <f t="shared" si="1"/>
        <v>324</v>
      </c>
      <c r="K326" s="3"/>
      <c r="L326" s="3" t="str">
        <f t="shared" si="2"/>
        <v>27ADJPR1065Q1ZV-SMI/352/24-25-30052024</v>
      </c>
      <c r="M326" s="8">
        <f t="shared" si="7"/>
        <v>18</v>
      </c>
      <c r="N326" s="3" t="str">
        <f t="shared" si="4"/>
        <v/>
      </c>
      <c r="O326" s="9" t="str">
        <f t="shared" si="5"/>
        <v/>
      </c>
      <c r="P326" s="3" t="str">
        <f t="shared" si="6"/>
        <v/>
      </c>
      <c r="Q326" s="3"/>
    </row>
    <row r="327" ht="15.75" customHeight="1">
      <c r="A327" s="4" t="s">
        <v>73</v>
      </c>
      <c r="B327" s="5" t="s">
        <v>74</v>
      </c>
      <c r="C327" s="5" t="s">
        <v>507</v>
      </c>
      <c r="D327" s="6">
        <v>45442.0</v>
      </c>
      <c r="E327" s="3"/>
      <c r="F327" s="3">
        <v>5900.0</v>
      </c>
      <c r="G327" s="3">
        <v>0.0</v>
      </c>
      <c r="H327" s="3">
        <v>531.0</v>
      </c>
      <c r="I327" s="3">
        <v>531.0</v>
      </c>
      <c r="J327" s="7">
        <f t="shared" si="1"/>
        <v>1062</v>
      </c>
      <c r="K327" s="3"/>
      <c r="L327" s="3" t="str">
        <f t="shared" si="2"/>
        <v>27ADXFS5568H1Z4-SRE/1836/24-25-30052024</v>
      </c>
      <c r="M327" s="8">
        <f t="shared" si="7"/>
        <v>18</v>
      </c>
      <c r="N327" s="3" t="str">
        <f t="shared" si="4"/>
        <v/>
      </c>
      <c r="O327" s="9" t="str">
        <f t="shared" si="5"/>
        <v/>
      </c>
      <c r="P327" s="3" t="str">
        <f t="shared" si="6"/>
        <v/>
      </c>
      <c r="Q327" s="3"/>
    </row>
    <row r="328" ht="15.75" customHeight="1">
      <c r="A328" s="4" t="s">
        <v>117</v>
      </c>
      <c r="B328" s="5" t="s">
        <v>118</v>
      </c>
      <c r="C328" s="5" t="s">
        <v>508</v>
      </c>
      <c r="D328" s="6">
        <v>45442.0</v>
      </c>
      <c r="E328" s="3"/>
      <c r="F328" s="3">
        <v>8184.0</v>
      </c>
      <c r="G328" s="3">
        <v>0.0</v>
      </c>
      <c r="H328" s="3">
        <v>491.04</v>
      </c>
      <c r="I328" s="3">
        <v>491.04</v>
      </c>
      <c r="J328" s="7">
        <f t="shared" si="1"/>
        <v>982.08</v>
      </c>
      <c r="K328" s="3"/>
      <c r="L328" s="3" t="str">
        <f t="shared" si="2"/>
        <v>27AAGPS6107E1ZR-24-25/79-30052024</v>
      </c>
      <c r="M328" s="8">
        <f t="shared" si="7"/>
        <v>12</v>
      </c>
      <c r="N328" s="3" t="str">
        <f t="shared" si="4"/>
        <v/>
      </c>
      <c r="O328" s="9" t="str">
        <f t="shared" si="5"/>
        <v/>
      </c>
      <c r="P328" s="3" t="str">
        <f t="shared" si="6"/>
        <v/>
      </c>
      <c r="Q328" s="3"/>
    </row>
    <row r="329" ht="15.75" customHeight="1">
      <c r="A329" s="4" t="s">
        <v>103</v>
      </c>
      <c r="B329" s="5" t="s">
        <v>104</v>
      </c>
      <c r="C329" s="5" t="s">
        <v>509</v>
      </c>
      <c r="D329" s="6">
        <v>45442.0</v>
      </c>
      <c r="E329" s="3"/>
      <c r="F329" s="3">
        <v>2500.0</v>
      </c>
      <c r="G329" s="3">
        <v>0.0</v>
      </c>
      <c r="H329" s="3">
        <v>0.0</v>
      </c>
      <c r="I329" s="3">
        <v>0.0</v>
      </c>
      <c r="J329" s="7">
        <f t="shared" si="1"/>
        <v>0</v>
      </c>
      <c r="K329" s="3"/>
      <c r="L329" s="3" t="str">
        <f t="shared" si="2"/>
        <v>27AAACT7966R1ZB-647942702-30052024</v>
      </c>
      <c r="M329" s="8">
        <f t="shared" si="7"/>
        <v>0</v>
      </c>
      <c r="N329" s="3" t="str">
        <f t="shared" si="4"/>
        <v/>
      </c>
      <c r="O329" s="9" t="str">
        <f t="shared" si="5"/>
        <v/>
      </c>
      <c r="P329" s="3" t="str">
        <f t="shared" si="6"/>
        <v/>
      </c>
      <c r="Q329" s="3"/>
    </row>
    <row r="330" ht="15.75" customHeight="1">
      <c r="A330" s="4" t="s">
        <v>510</v>
      </c>
      <c r="B330" s="5" t="s">
        <v>511</v>
      </c>
      <c r="C330" s="5" t="s">
        <v>512</v>
      </c>
      <c r="D330" s="6">
        <v>45442.0</v>
      </c>
      <c r="E330" s="3"/>
      <c r="F330" s="3">
        <v>1290.0</v>
      </c>
      <c r="G330" s="3">
        <v>0.0</v>
      </c>
      <c r="H330" s="3">
        <v>0.0</v>
      </c>
      <c r="I330" s="3">
        <v>0.0</v>
      </c>
      <c r="J330" s="7">
        <f t="shared" si="1"/>
        <v>0</v>
      </c>
      <c r="K330" s="3"/>
      <c r="L330" s="3" t="str">
        <f t="shared" si="2"/>
        <v>27AACCA4861C2ZY-A7001934433-30052024</v>
      </c>
      <c r="M330" s="8">
        <f t="shared" si="7"/>
        <v>0</v>
      </c>
      <c r="N330" s="3" t="str">
        <f t="shared" si="4"/>
        <v/>
      </c>
      <c r="O330" s="9" t="str">
        <f t="shared" si="5"/>
        <v/>
      </c>
      <c r="P330" s="3" t="str">
        <f t="shared" si="6"/>
        <v/>
      </c>
      <c r="Q330" s="3"/>
    </row>
    <row r="331" ht="15.75" customHeight="1">
      <c r="A331" s="4" t="s">
        <v>19</v>
      </c>
      <c r="B331" s="5" t="s">
        <v>20</v>
      </c>
      <c r="C331" s="5" t="s">
        <v>513</v>
      </c>
      <c r="D331" s="6">
        <v>45443.0</v>
      </c>
      <c r="E331" s="3"/>
      <c r="F331" s="3">
        <v>3260.0</v>
      </c>
      <c r="G331" s="3">
        <v>0.0</v>
      </c>
      <c r="H331" s="3">
        <v>293.4</v>
      </c>
      <c r="I331" s="3">
        <v>293.4</v>
      </c>
      <c r="J331" s="7">
        <f t="shared" si="1"/>
        <v>586.8</v>
      </c>
      <c r="K331" s="3"/>
      <c r="L331" s="3" t="str">
        <f t="shared" si="2"/>
        <v>27AADCM2739E1ZL-MEPL/02189/24-25-31052024</v>
      </c>
      <c r="M331" s="8">
        <f t="shared" si="7"/>
        <v>18</v>
      </c>
      <c r="N331" s="3" t="str">
        <f t="shared" si="4"/>
        <v/>
      </c>
      <c r="O331" s="9" t="str">
        <f t="shared" si="5"/>
        <v/>
      </c>
      <c r="P331" s="3" t="str">
        <f t="shared" si="6"/>
        <v/>
      </c>
      <c r="Q331" s="3"/>
    </row>
    <row r="332" ht="15.75" customHeight="1">
      <c r="A332" s="4" t="s">
        <v>56</v>
      </c>
      <c r="B332" s="5" t="s">
        <v>57</v>
      </c>
      <c r="C332" s="5" t="s">
        <v>514</v>
      </c>
      <c r="D332" s="6">
        <v>45443.0</v>
      </c>
      <c r="E332" s="3"/>
      <c r="F332" s="3">
        <v>50458.0</v>
      </c>
      <c r="G332" s="3">
        <v>0.0</v>
      </c>
      <c r="H332" s="3">
        <v>4541.0</v>
      </c>
      <c r="I332" s="3">
        <v>4541.0</v>
      </c>
      <c r="J332" s="7">
        <f t="shared" si="1"/>
        <v>9082</v>
      </c>
      <c r="K332" s="3"/>
      <c r="L332" s="3" t="str">
        <f t="shared" si="2"/>
        <v>27AAACB2900K1ZZ-4320294688-31052024</v>
      </c>
      <c r="M332" s="8">
        <f t="shared" si="7"/>
        <v>17.99912799</v>
      </c>
      <c r="N332" s="3" t="str">
        <f t="shared" si="4"/>
        <v/>
      </c>
      <c r="O332" s="9" t="str">
        <f t="shared" si="5"/>
        <v/>
      </c>
      <c r="P332" s="3" t="str">
        <f t="shared" si="6"/>
        <v/>
      </c>
      <c r="Q332" s="3"/>
    </row>
    <row r="333" ht="15.75" customHeight="1">
      <c r="A333" s="4" t="s">
        <v>122</v>
      </c>
      <c r="B333" s="5" t="s">
        <v>123</v>
      </c>
      <c r="C333" s="5" t="s">
        <v>515</v>
      </c>
      <c r="D333" s="6">
        <v>45443.0</v>
      </c>
      <c r="E333" s="3"/>
      <c r="F333" s="3">
        <v>4050.0</v>
      </c>
      <c r="G333" s="3">
        <v>0.0</v>
      </c>
      <c r="H333" s="3">
        <v>364.5</v>
      </c>
      <c r="I333" s="3">
        <v>364.5</v>
      </c>
      <c r="J333" s="7">
        <f t="shared" si="1"/>
        <v>729</v>
      </c>
      <c r="K333" s="3"/>
      <c r="L333" s="3" t="str">
        <f t="shared" si="2"/>
        <v>27ACLPS1646K1Z3-458/24-25-31052024</v>
      </c>
      <c r="M333" s="8">
        <f t="shared" si="7"/>
        <v>18</v>
      </c>
      <c r="N333" s="3" t="str">
        <f t="shared" si="4"/>
        <v/>
      </c>
      <c r="O333" s="9" t="str">
        <f t="shared" si="5"/>
        <v/>
      </c>
      <c r="P333" s="3" t="str">
        <f t="shared" si="6"/>
        <v/>
      </c>
      <c r="Q333" s="3"/>
    </row>
    <row r="334" ht="15.75" customHeight="1">
      <c r="A334" s="4" t="s">
        <v>229</v>
      </c>
      <c r="B334" s="5" t="s">
        <v>230</v>
      </c>
      <c r="C334" s="5" t="s">
        <v>516</v>
      </c>
      <c r="D334" s="6">
        <v>45443.0</v>
      </c>
      <c r="E334" s="3"/>
      <c r="F334" s="3">
        <v>288.0</v>
      </c>
      <c r="G334" s="3">
        <v>0.0</v>
      </c>
      <c r="H334" s="3">
        <v>26.0</v>
      </c>
      <c r="I334" s="3">
        <v>26.0</v>
      </c>
      <c r="J334" s="7">
        <f t="shared" si="1"/>
        <v>52</v>
      </c>
      <c r="K334" s="3"/>
      <c r="L334" s="3" t="str">
        <f t="shared" si="2"/>
        <v>27AADPN9795N1ZO-279-31052024</v>
      </c>
      <c r="M334" s="8">
        <f t="shared" si="7"/>
        <v>18.05555556</v>
      </c>
      <c r="N334" s="3" t="str">
        <f t="shared" si="4"/>
        <v/>
      </c>
      <c r="O334" s="9" t="str">
        <f t="shared" si="5"/>
        <v/>
      </c>
      <c r="P334" s="3" t="str">
        <f t="shared" si="6"/>
        <v/>
      </c>
      <c r="Q334" s="3"/>
    </row>
    <row r="335" ht="15.75" customHeight="1">
      <c r="A335" s="4" t="s">
        <v>517</v>
      </c>
      <c r="B335" s="5" t="s">
        <v>518</v>
      </c>
      <c r="C335" s="5" t="s">
        <v>519</v>
      </c>
      <c r="D335" s="6">
        <v>45443.0</v>
      </c>
      <c r="E335" s="3"/>
      <c r="F335" s="3">
        <v>9000.0</v>
      </c>
      <c r="G335" s="3">
        <v>0.0</v>
      </c>
      <c r="H335" s="3">
        <v>810.0</v>
      </c>
      <c r="I335" s="3">
        <v>810.0</v>
      </c>
      <c r="J335" s="7">
        <f t="shared" si="1"/>
        <v>1620</v>
      </c>
      <c r="K335" s="3"/>
      <c r="L335" s="3" t="str">
        <f t="shared" si="2"/>
        <v>27AAIPI1301A1ZL-GST-0125-31052024</v>
      </c>
      <c r="M335" s="8">
        <f t="shared" si="7"/>
        <v>18</v>
      </c>
      <c r="N335" s="3" t="str">
        <f t="shared" si="4"/>
        <v/>
      </c>
      <c r="O335" s="9" t="str">
        <f t="shared" si="5"/>
        <v/>
      </c>
      <c r="P335" s="3" t="str">
        <f t="shared" si="6"/>
        <v/>
      </c>
      <c r="Q335" s="3"/>
    </row>
    <row r="336" ht="15.75" customHeight="1">
      <c r="A336" s="4" t="s">
        <v>287</v>
      </c>
      <c r="B336" s="5" t="s">
        <v>288</v>
      </c>
      <c r="C336" s="5" t="s">
        <v>520</v>
      </c>
      <c r="D336" s="6">
        <v>45443.0</v>
      </c>
      <c r="E336" s="3"/>
      <c r="F336" s="3">
        <v>28290.0</v>
      </c>
      <c r="G336" s="3">
        <v>0.0</v>
      </c>
      <c r="H336" s="3">
        <v>2546.1</v>
      </c>
      <c r="I336" s="3">
        <v>2546.1</v>
      </c>
      <c r="J336" s="7">
        <f t="shared" si="1"/>
        <v>5092.2</v>
      </c>
      <c r="K336" s="3"/>
      <c r="L336" s="3" t="str">
        <f t="shared" si="2"/>
        <v>27AATFG0563F1Z9-G-0176/24-31052024</v>
      </c>
      <c r="M336" s="8">
        <f t="shared" si="7"/>
        <v>18</v>
      </c>
      <c r="N336" s="3" t="str">
        <f t="shared" si="4"/>
        <v/>
      </c>
      <c r="O336" s="9" t="str">
        <f t="shared" si="5"/>
        <v/>
      </c>
      <c r="P336" s="3" t="str">
        <f t="shared" si="6"/>
        <v/>
      </c>
      <c r="Q336" s="3"/>
    </row>
    <row r="337" ht="15.75" customHeight="1">
      <c r="A337" s="4" t="s">
        <v>346</v>
      </c>
      <c r="B337" s="5" t="s">
        <v>347</v>
      </c>
      <c r="C337" s="5" t="s">
        <v>521</v>
      </c>
      <c r="D337" s="6">
        <v>45443.0</v>
      </c>
      <c r="E337" s="3"/>
      <c r="F337" s="3">
        <v>1250.0</v>
      </c>
      <c r="G337" s="3">
        <v>0.0</v>
      </c>
      <c r="H337" s="3">
        <v>112.5</v>
      </c>
      <c r="I337" s="3">
        <v>112.5</v>
      </c>
      <c r="J337" s="7">
        <f t="shared" si="1"/>
        <v>225</v>
      </c>
      <c r="K337" s="3"/>
      <c r="L337" s="3" t="str">
        <f t="shared" si="2"/>
        <v>27AFGPK5440M1Z6-SS/00860/2024-25-31052024</v>
      </c>
      <c r="M337" s="8">
        <f t="shared" si="7"/>
        <v>18</v>
      </c>
      <c r="N337" s="3" t="str">
        <f t="shared" si="4"/>
        <v/>
      </c>
      <c r="O337" s="9" t="str">
        <f t="shared" si="5"/>
        <v/>
      </c>
      <c r="P337" s="3" t="str">
        <f t="shared" si="6"/>
        <v/>
      </c>
      <c r="Q337" s="3"/>
    </row>
    <row r="338" ht="15.75" customHeight="1">
      <c r="A338" s="4" t="s">
        <v>522</v>
      </c>
      <c r="B338" s="5" t="s">
        <v>523</v>
      </c>
      <c r="C338" s="5" t="s">
        <v>524</v>
      </c>
      <c r="D338" s="6">
        <v>45443.0</v>
      </c>
      <c r="E338" s="3"/>
      <c r="F338" s="3">
        <v>2300.0</v>
      </c>
      <c r="G338" s="3">
        <v>0.0</v>
      </c>
      <c r="H338" s="3">
        <v>207.0</v>
      </c>
      <c r="I338" s="3">
        <v>207.0</v>
      </c>
      <c r="J338" s="7">
        <f t="shared" si="1"/>
        <v>414</v>
      </c>
      <c r="K338" s="3"/>
      <c r="L338" s="3" t="str">
        <f t="shared" si="2"/>
        <v>27AOEPT1552N1ZH-034/24-25-31052024</v>
      </c>
      <c r="M338" s="8">
        <f t="shared" si="7"/>
        <v>18</v>
      </c>
      <c r="N338" s="3" t="str">
        <f t="shared" si="4"/>
        <v/>
      </c>
      <c r="O338" s="9" t="str">
        <f t="shared" si="5"/>
        <v/>
      </c>
      <c r="P338" s="3" t="str">
        <f t="shared" si="6"/>
        <v/>
      </c>
      <c r="Q338" s="3"/>
    </row>
    <row r="339" ht="15.75" customHeight="1">
      <c r="A339" s="4" t="s">
        <v>290</v>
      </c>
      <c r="B339" s="5"/>
      <c r="C339" s="5" t="s">
        <v>525</v>
      </c>
      <c r="D339" s="6">
        <v>45443.0</v>
      </c>
      <c r="E339" s="3"/>
      <c r="F339" s="3">
        <v>1833.0</v>
      </c>
      <c r="G339" s="3">
        <v>0.0</v>
      </c>
      <c r="H339" s="3">
        <v>164.97</v>
      </c>
      <c r="I339" s="3">
        <v>164.97</v>
      </c>
      <c r="J339" s="7">
        <f t="shared" si="1"/>
        <v>329.94</v>
      </c>
      <c r="K339" s="3"/>
      <c r="L339" s="3" t="str">
        <f t="shared" si="2"/>
        <v/>
      </c>
      <c r="M339" s="8">
        <f t="shared" si="7"/>
        <v>18</v>
      </c>
      <c r="N339" s="3" t="str">
        <f t="shared" si="4"/>
        <v>GSTIN not entered</v>
      </c>
      <c r="O339" s="9" t="str">
        <f t="shared" si="5"/>
        <v/>
      </c>
      <c r="P339" s="3" t="str">
        <f t="shared" si="6"/>
        <v/>
      </c>
      <c r="Q339" s="3"/>
    </row>
    <row r="340" ht="15.75" customHeight="1">
      <c r="A340" s="4" t="s">
        <v>295</v>
      </c>
      <c r="B340" s="5" t="s">
        <v>296</v>
      </c>
      <c r="C340" s="5" t="s">
        <v>526</v>
      </c>
      <c r="D340" s="6">
        <v>45443.0</v>
      </c>
      <c r="E340" s="3"/>
      <c r="F340" s="3">
        <v>510.0</v>
      </c>
      <c r="G340" s="3">
        <v>0.0</v>
      </c>
      <c r="H340" s="3">
        <v>45.9</v>
      </c>
      <c r="I340" s="3">
        <v>45.9</v>
      </c>
      <c r="J340" s="7">
        <f t="shared" si="1"/>
        <v>91.8</v>
      </c>
      <c r="K340" s="3"/>
      <c r="L340" s="3" t="str">
        <f t="shared" si="2"/>
        <v>27AAVPM4700E1ZN-PCT/64-31052024</v>
      </c>
      <c r="M340" s="8">
        <f t="shared" si="7"/>
        <v>18</v>
      </c>
      <c r="N340" s="3" t="str">
        <f t="shared" si="4"/>
        <v/>
      </c>
      <c r="O340" s="9" t="str">
        <f t="shared" si="5"/>
        <v/>
      </c>
      <c r="P340" s="3" t="str">
        <f t="shared" si="6"/>
        <v/>
      </c>
      <c r="Q340" s="3"/>
    </row>
    <row r="341" ht="15.75" customHeight="1">
      <c r="A341" s="4" t="s">
        <v>527</v>
      </c>
      <c r="B341" s="5" t="s">
        <v>528</v>
      </c>
      <c r="C341" s="5" t="s">
        <v>529</v>
      </c>
      <c r="D341" s="6">
        <v>45443.0</v>
      </c>
      <c r="E341" s="3"/>
      <c r="F341" s="3">
        <v>7200.0</v>
      </c>
      <c r="G341" s="3">
        <v>0.0</v>
      </c>
      <c r="H341" s="3">
        <v>648.0</v>
      </c>
      <c r="I341" s="3">
        <v>648.0</v>
      </c>
      <c r="J341" s="7">
        <f t="shared" si="1"/>
        <v>1296</v>
      </c>
      <c r="K341" s="3"/>
      <c r="L341" s="3" t="str">
        <f t="shared" si="2"/>
        <v>27AGTPM6010H2Z7-4QS/0501492/24-25-31052024</v>
      </c>
      <c r="M341" s="8">
        <f t="shared" si="7"/>
        <v>18</v>
      </c>
      <c r="N341" s="3" t="str">
        <f t="shared" si="4"/>
        <v/>
      </c>
      <c r="O341" s="9" t="str">
        <f t="shared" si="5"/>
        <v/>
      </c>
      <c r="P341" s="3" t="str">
        <f t="shared" si="6"/>
        <v/>
      </c>
      <c r="Q341" s="3"/>
    </row>
    <row r="342" ht="15.75" customHeight="1">
      <c r="A342" s="4" t="s">
        <v>298</v>
      </c>
      <c r="B342" s="5" t="s">
        <v>299</v>
      </c>
      <c r="C342" s="5" t="s">
        <v>530</v>
      </c>
      <c r="D342" s="6">
        <v>45443.0</v>
      </c>
      <c r="E342" s="3"/>
      <c r="F342" s="3">
        <v>490.8</v>
      </c>
      <c r="G342" s="3">
        <v>0.0</v>
      </c>
      <c r="H342" s="3">
        <v>44.17</v>
      </c>
      <c r="I342" s="3">
        <v>44.17</v>
      </c>
      <c r="J342" s="7">
        <f t="shared" si="1"/>
        <v>88.34</v>
      </c>
      <c r="K342" s="3"/>
      <c r="L342" s="3" t="str">
        <f t="shared" si="2"/>
        <v>27AFGPS1163R1ZS-WAG/00132/2024-31052024</v>
      </c>
      <c r="M342" s="8">
        <f t="shared" si="7"/>
        <v>17.999185</v>
      </c>
      <c r="N342" s="3" t="str">
        <f t="shared" si="4"/>
        <v/>
      </c>
      <c r="O342" s="9" t="str">
        <f t="shared" si="5"/>
        <v/>
      </c>
      <c r="P342" s="3" t="str">
        <f t="shared" si="6"/>
        <v/>
      </c>
      <c r="Q342" s="3"/>
    </row>
    <row r="343" ht="15.75" customHeight="1">
      <c r="A343" s="4" t="s">
        <v>531</v>
      </c>
      <c r="B343" s="5" t="s">
        <v>532</v>
      </c>
      <c r="C343" s="5" t="s">
        <v>533</v>
      </c>
      <c r="D343" s="6">
        <v>45443.0</v>
      </c>
      <c r="E343" s="3"/>
      <c r="F343" s="3">
        <v>1144.0</v>
      </c>
      <c r="G343" s="3">
        <v>0.0</v>
      </c>
      <c r="H343" s="3">
        <v>102.96</v>
      </c>
      <c r="I343" s="3">
        <v>102.96</v>
      </c>
      <c r="J343" s="7">
        <f t="shared" si="1"/>
        <v>205.92</v>
      </c>
      <c r="K343" s="3"/>
      <c r="L343" s="3" t="str">
        <f t="shared" si="2"/>
        <v>27AADCT0663J1Z8-1273415056-31052024</v>
      </c>
      <c r="M343" s="8">
        <f t="shared" si="7"/>
        <v>18</v>
      </c>
      <c r="N343" s="3" t="str">
        <f t="shared" si="4"/>
        <v/>
      </c>
      <c r="O343" s="9" t="str">
        <f t="shared" si="5"/>
        <v/>
      </c>
      <c r="P343" s="3" t="str">
        <f t="shared" si="6"/>
        <v/>
      </c>
      <c r="Q343" s="3"/>
    </row>
    <row r="344" ht="15.75" customHeight="1">
      <c r="A344" s="4" t="s">
        <v>69</v>
      </c>
      <c r="B344" s="5" t="s">
        <v>70</v>
      </c>
      <c r="C344" s="5" t="s">
        <v>534</v>
      </c>
      <c r="D344" s="6">
        <v>45444.0</v>
      </c>
      <c r="E344" s="3"/>
      <c r="F344" s="3">
        <v>66933.0</v>
      </c>
      <c r="G344" s="3">
        <v>0.0</v>
      </c>
      <c r="H344" s="3">
        <v>6023.97</v>
      </c>
      <c r="I344" s="3">
        <v>6023.97</v>
      </c>
      <c r="J344" s="7">
        <f t="shared" si="1"/>
        <v>12047.94</v>
      </c>
      <c r="K344" s="3"/>
      <c r="L344" s="3" t="str">
        <f t="shared" si="2"/>
        <v>27AAEFR8996A1ZU-1046/24-25-01062024</v>
      </c>
      <c r="M344" s="8">
        <f t="shared" si="7"/>
        <v>18</v>
      </c>
      <c r="N344" s="3" t="str">
        <f t="shared" si="4"/>
        <v/>
      </c>
      <c r="O344" s="9" t="str">
        <f t="shared" si="5"/>
        <v/>
      </c>
      <c r="P344" s="3" t="str">
        <f t="shared" si="6"/>
        <v/>
      </c>
      <c r="Q344" s="3" t="s">
        <v>535</v>
      </c>
    </row>
    <row r="345" ht="15.75" customHeight="1">
      <c r="A345" s="4" t="s">
        <v>536</v>
      </c>
      <c r="B345" s="5" t="s">
        <v>537</v>
      </c>
      <c r="C345" s="5" t="s">
        <v>538</v>
      </c>
      <c r="D345" s="6">
        <v>45444.0</v>
      </c>
      <c r="E345" s="3"/>
      <c r="F345" s="3">
        <v>71850.0</v>
      </c>
      <c r="G345" s="3">
        <v>12933.0</v>
      </c>
      <c r="H345" s="3">
        <v>0.0</v>
      </c>
      <c r="I345" s="3">
        <v>0.0</v>
      </c>
      <c r="J345" s="7">
        <f t="shared" si="1"/>
        <v>12933</v>
      </c>
      <c r="K345" s="3"/>
      <c r="L345" s="3" t="str">
        <f t="shared" si="2"/>
        <v>07AAGPA0308P1ZX-02-01062024</v>
      </c>
      <c r="M345" s="8">
        <f t="shared" si="7"/>
        <v>18</v>
      </c>
      <c r="N345" s="3" t="str">
        <f t="shared" si="4"/>
        <v/>
      </c>
      <c r="O345" s="9" t="str">
        <f t="shared" si="5"/>
        <v/>
      </c>
      <c r="P345" s="3" t="str">
        <f t="shared" si="6"/>
        <v/>
      </c>
      <c r="Q345" s="3"/>
    </row>
    <row r="346" ht="15.75" customHeight="1">
      <c r="A346" s="4" t="s">
        <v>44</v>
      </c>
      <c r="B346" s="5" t="s">
        <v>45</v>
      </c>
      <c r="C346" s="5" t="s">
        <v>539</v>
      </c>
      <c r="D346" s="6">
        <v>45444.0</v>
      </c>
      <c r="E346" s="3"/>
      <c r="F346" s="3">
        <v>12710.35</v>
      </c>
      <c r="G346" s="3">
        <v>0.0</v>
      </c>
      <c r="H346" s="3">
        <v>1143.93</v>
      </c>
      <c r="I346" s="3">
        <v>1143.93</v>
      </c>
      <c r="J346" s="7">
        <f t="shared" si="1"/>
        <v>2287.86</v>
      </c>
      <c r="K346" s="3"/>
      <c r="L346" s="3" t="str">
        <f t="shared" si="2"/>
        <v>27BAEPA9590G1ZL-BWND/24-25/515-01062024</v>
      </c>
      <c r="M346" s="8">
        <f t="shared" si="7"/>
        <v>17.9999764</v>
      </c>
      <c r="N346" s="3" t="str">
        <f t="shared" si="4"/>
        <v/>
      </c>
      <c r="O346" s="9" t="str">
        <f t="shared" si="5"/>
        <v/>
      </c>
      <c r="P346" s="3" t="str">
        <f t="shared" si="6"/>
        <v/>
      </c>
      <c r="Q346" s="3"/>
    </row>
    <row r="347" ht="15.75" customHeight="1">
      <c r="A347" s="4" t="s">
        <v>44</v>
      </c>
      <c r="B347" s="5" t="s">
        <v>45</v>
      </c>
      <c r="C347" s="5" t="s">
        <v>540</v>
      </c>
      <c r="D347" s="6">
        <v>45444.0</v>
      </c>
      <c r="E347" s="3"/>
      <c r="F347" s="3">
        <v>23802.0</v>
      </c>
      <c r="G347" s="3">
        <v>0.0</v>
      </c>
      <c r="H347" s="3">
        <v>2142.18</v>
      </c>
      <c r="I347" s="3">
        <v>2142.18</v>
      </c>
      <c r="J347" s="7">
        <f t="shared" si="1"/>
        <v>4284.36</v>
      </c>
      <c r="K347" s="3"/>
      <c r="L347" s="3" t="str">
        <f t="shared" si="2"/>
        <v>27BAEPA9590G1ZL-BWND/24-25/516-01062024</v>
      </c>
      <c r="M347" s="8">
        <f t="shared" si="7"/>
        <v>18</v>
      </c>
      <c r="N347" s="3" t="str">
        <f t="shared" si="4"/>
        <v/>
      </c>
      <c r="O347" s="9" t="str">
        <f t="shared" si="5"/>
        <v/>
      </c>
      <c r="P347" s="3" t="str">
        <f t="shared" si="6"/>
        <v/>
      </c>
      <c r="Q347" s="3"/>
    </row>
    <row r="348" ht="15.75" customHeight="1">
      <c r="A348" s="4" t="s">
        <v>44</v>
      </c>
      <c r="B348" s="5" t="s">
        <v>45</v>
      </c>
      <c r="C348" s="5" t="s">
        <v>541</v>
      </c>
      <c r="D348" s="6">
        <v>45444.0</v>
      </c>
      <c r="E348" s="3"/>
      <c r="F348" s="3">
        <v>11141.8</v>
      </c>
      <c r="G348" s="3">
        <v>0.0</v>
      </c>
      <c r="H348" s="3">
        <v>1002.77</v>
      </c>
      <c r="I348" s="3">
        <v>1002.77</v>
      </c>
      <c r="J348" s="7">
        <f t="shared" si="1"/>
        <v>2005.54</v>
      </c>
      <c r="K348" s="3"/>
      <c r="L348" s="3" t="str">
        <f t="shared" si="2"/>
        <v>27BAEPA9590G1ZL-BWND/24-25/514-01062024</v>
      </c>
      <c r="M348" s="8">
        <f t="shared" si="7"/>
        <v>18.0001436</v>
      </c>
      <c r="N348" s="3" t="str">
        <f t="shared" si="4"/>
        <v/>
      </c>
      <c r="O348" s="9" t="str">
        <f t="shared" si="5"/>
        <v/>
      </c>
      <c r="P348" s="3" t="str">
        <f t="shared" si="6"/>
        <v/>
      </c>
      <c r="Q348" s="3"/>
    </row>
    <row r="349" ht="15.75" customHeight="1">
      <c r="A349" s="4" t="s">
        <v>542</v>
      </c>
      <c r="B349" s="5" t="s">
        <v>543</v>
      </c>
      <c r="C349" s="5" t="s">
        <v>544</v>
      </c>
      <c r="D349" s="6">
        <v>45444.0</v>
      </c>
      <c r="E349" s="3"/>
      <c r="F349" s="3">
        <v>2450.0</v>
      </c>
      <c r="G349" s="3">
        <v>0.0</v>
      </c>
      <c r="H349" s="3">
        <v>220.5</v>
      </c>
      <c r="I349" s="3">
        <v>220.5</v>
      </c>
      <c r="J349" s="7">
        <f t="shared" si="1"/>
        <v>441</v>
      </c>
      <c r="K349" s="3"/>
      <c r="L349" s="3" t="str">
        <f t="shared" si="2"/>
        <v>27AAAFV0069Q1ZP-735-01062024</v>
      </c>
      <c r="M349" s="8">
        <f t="shared" si="7"/>
        <v>18</v>
      </c>
      <c r="N349" s="3" t="str">
        <f t="shared" si="4"/>
        <v/>
      </c>
      <c r="O349" s="9" t="str">
        <f t="shared" si="5"/>
        <v/>
      </c>
      <c r="P349" s="3" t="str">
        <f t="shared" si="6"/>
        <v/>
      </c>
      <c r="Q349" s="3"/>
    </row>
    <row r="350" ht="15.75" customHeight="1">
      <c r="A350" s="4" t="s">
        <v>56</v>
      </c>
      <c r="B350" s="5" t="s">
        <v>57</v>
      </c>
      <c r="C350" s="5" t="s">
        <v>545</v>
      </c>
      <c r="D350" s="6">
        <v>45444.0</v>
      </c>
      <c r="E350" s="3"/>
      <c r="F350" s="3">
        <v>71272.0</v>
      </c>
      <c r="G350" s="3">
        <v>0.0</v>
      </c>
      <c r="H350" s="3">
        <v>6414.0</v>
      </c>
      <c r="I350" s="3">
        <v>6414.0</v>
      </c>
      <c r="J350" s="7">
        <f t="shared" si="1"/>
        <v>12828</v>
      </c>
      <c r="K350" s="3"/>
      <c r="L350" s="3" t="str">
        <f t="shared" si="2"/>
        <v>27AAACB2900K1ZZ-4320294859-01062024</v>
      </c>
      <c r="M350" s="8">
        <f t="shared" si="7"/>
        <v>17.99865305</v>
      </c>
      <c r="N350" s="3" t="str">
        <f t="shared" si="4"/>
        <v/>
      </c>
      <c r="O350" s="9" t="str">
        <f t="shared" si="5"/>
        <v/>
      </c>
      <c r="P350" s="3" t="str">
        <f t="shared" si="6"/>
        <v/>
      </c>
      <c r="Q350" s="3"/>
    </row>
    <row r="351" ht="15.75" customHeight="1">
      <c r="A351" s="4" t="s">
        <v>56</v>
      </c>
      <c r="B351" s="5" t="s">
        <v>57</v>
      </c>
      <c r="C351" s="5" t="s">
        <v>546</v>
      </c>
      <c r="D351" s="6">
        <v>45444.0</v>
      </c>
      <c r="E351" s="3"/>
      <c r="F351" s="3">
        <v>99100.0</v>
      </c>
      <c r="G351" s="3">
        <v>0.0</v>
      </c>
      <c r="H351" s="3">
        <v>8919.0</v>
      </c>
      <c r="I351" s="3">
        <v>8919.0</v>
      </c>
      <c r="J351" s="7">
        <f t="shared" si="1"/>
        <v>17838</v>
      </c>
      <c r="K351" s="3"/>
      <c r="L351" s="3" t="str">
        <f t="shared" si="2"/>
        <v>27AAACB2900K1ZZ-4320294861-01062024</v>
      </c>
      <c r="M351" s="8">
        <f t="shared" si="7"/>
        <v>18</v>
      </c>
      <c r="N351" s="3" t="str">
        <f t="shared" si="4"/>
        <v/>
      </c>
      <c r="O351" s="9" t="str">
        <f t="shared" si="5"/>
        <v/>
      </c>
      <c r="P351" s="3" t="str">
        <f t="shared" si="6"/>
        <v/>
      </c>
      <c r="Q351" s="3"/>
    </row>
    <row r="352" ht="15.75" customHeight="1">
      <c r="A352" s="4" t="s">
        <v>56</v>
      </c>
      <c r="B352" s="5" t="s">
        <v>57</v>
      </c>
      <c r="C352" s="5" t="s">
        <v>547</v>
      </c>
      <c r="D352" s="6">
        <v>45444.0</v>
      </c>
      <c r="E352" s="3"/>
      <c r="F352" s="3">
        <v>66242.0</v>
      </c>
      <c r="G352" s="3">
        <v>0.0</v>
      </c>
      <c r="H352" s="3">
        <v>5962.0</v>
      </c>
      <c r="I352" s="3">
        <v>5962.0</v>
      </c>
      <c r="J352" s="7">
        <f t="shared" si="1"/>
        <v>11924</v>
      </c>
      <c r="K352" s="3"/>
      <c r="L352" s="3" t="str">
        <f t="shared" si="2"/>
        <v>27AAACB2900K1ZZ-4320294863-01062024</v>
      </c>
      <c r="M352" s="8">
        <f t="shared" si="7"/>
        <v>18.00066423</v>
      </c>
      <c r="N352" s="3" t="str">
        <f t="shared" si="4"/>
        <v/>
      </c>
      <c r="O352" s="9" t="str">
        <f t="shared" si="5"/>
        <v/>
      </c>
      <c r="P352" s="3" t="str">
        <f t="shared" si="6"/>
        <v/>
      </c>
      <c r="Q352" s="3"/>
    </row>
    <row r="353" ht="15.75" customHeight="1">
      <c r="A353" s="4" t="s">
        <v>56</v>
      </c>
      <c r="B353" s="5" t="s">
        <v>57</v>
      </c>
      <c r="C353" s="5" t="s">
        <v>548</v>
      </c>
      <c r="D353" s="6">
        <v>45444.0</v>
      </c>
      <c r="E353" s="3"/>
      <c r="F353" s="3">
        <v>31750.0</v>
      </c>
      <c r="G353" s="3">
        <v>0.0</v>
      </c>
      <c r="H353" s="3">
        <v>2858.0</v>
      </c>
      <c r="I353" s="3">
        <v>2858.0</v>
      </c>
      <c r="J353" s="7">
        <f t="shared" si="1"/>
        <v>5716</v>
      </c>
      <c r="K353" s="3"/>
      <c r="L353" s="3" t="str">
        <f t="shared" si="2"/>
        <v>27AAACB2900K1ZZ-4320294864-01062024</v>
      </c>
      <c r="M353" s="8">
        <f t="shared" si="7"/>
        <v>18.00314961</v>
      </c>
      <c r="N353" s="3" t="str">
        <f t="shared" si="4"/>
        <v/>
      </c>
      <c r="O353" s="9" t="str">
        <f t="shared" si="5"/>
        <v/>
      </c>
      <c r="P353" s="3" t="str">
        <f t="shared" si="6"/>
        <v/>
      </c>
      <c r="Q353" s="3"/>
    </row>
    <row r="354" ht="15.75" customHeight="1">
      <c r="A354" s="4" t="s">
        <v>56</v>
      </c>
      <c r="B354" s="5" t="s">
        <v>57</v>
      </c>
      <c r="C354" s="5" t="s">
        <v>549</v>
      </c>
      <c r="D354" s="6">
        <v>45444.0</v>
      </c>
      <c r="E354" s="3"/>
      <c r="F354" s="3">
        <v>72012.0</v>
      </c>
      <c r="G354" s="3">
        <v>0.0</v>
      </c>
      <c r="H354" s="3">
        <v>6481.0</v>
      </c>
      <c r="I354" s="3">
        <v>6481.0</v>
      </c>
      <c r="J354" s="7">
        <f t="shared" si="1"/>
        <v>12962</v>
      </c>
      <c r="K354" s="3"/>
      <c r="L354" s="3" t="str">
        <f t="shared" si="2"/>
        <v>27AAACB2900K1ZZ-4320294865-01062024</v>
      </c>
      <c r="M354" s="8">
        <f t="shared" si="7"/>
        <v>17.99977781</v>
      </c>
      <c r="N354" s="3" t="str">
        <f t="shared" si="4"/>
        <v/>
      </c>
      <c r="O354" s="9" t="str">
        <f t="shared" si="5"/>
        <v/>
      </c>
      <c r="P354" s="3" t="str">
        <f t="shared" si="6"/>
        <v/>
      </c>
      <c r="Q354" s="3"/>
    </row>
    <row r="355" ht="15.75" customHeight="1">
      <c r="A355" s="4" t="s">
        <v>56</v>
      </c>
      <c r="B355" s="5" t="s">
        <v>57</v>
      </c>
      <c r="C355" s="5" t="s">
        <v>550</v>
      </c>
      <c r="D355" s="6">
        <v>45444.0</v>
      </c>
      <c r="E355" s="3"/>
      <c r="F355" s="3">
        <v>20238.0</v>
      </c>
      <c r="G355" s="3">
        <v>0.0</v>
      </c>
      <c r="H355" s="3">
        <v>1821.0</v>
      </c>
      <c r="I355" s="3">
        <v>1821.0</v>
      </c>
      <c r="J355" s="7">
        <f t="shared" si="1"/>
        <v>3642</v>
      </c>
      <c r="K355" s="3"/>
      <c r="L355" s="3" t="str">
        <f t="shared" si="2"/>
        <v>27AAACB2900K1ZZ-4320294866-01062024</v>
      </c>
      <c r="M355" s="8">
        <f t="shared" si="7"/>
        <v>17.99584939</v>
      </c>
      <c r="N355" s="3" t="str">
        <f t="shared" si="4"/>
        <v/>
      </c>
      <c r="O355" s="9" t="str">
        <f t="shared" si="5"/>
        <v/>
      </c>
      <c r="P355" s="3" t="str">
        <f t="shared" si="6"/>
        <v/>
      </c>
      <c r="Q355" s="3"/>
    </row>
    <row r="356" ht="15.75" customHeight="1">
      <c r="A356" s="4" t="s">
        <v>56</v>
      </c>
      <c r="B356" s="5" t="s">
        <v>57</v>
      </c>
      <c r="C356" s="5" t="s">
        <v>551</v>
      </c>
      <c r="D356" s="6">
        <v>45444.0</v>
      </c>
      <c r="E356" s="3"/>
      <c r="F356" s="3">
        <v>11656.0</v>
      </c>
      <c r="G356" s="3">
        <v>0.0</v>
      </c>
      <c r="H356" s="3">
        <v>1049.0</v>
      </c>
      <c r="I356" s="3">
        <v>1049.0</v>
      </c>
      <c r="J356" s="7">
        <f t="shared" si="1"/>
        <v>2098</v>
      </c>
      <c r="K356" s="3"/>
      <c r="L356" s="3" t="str">
        <f t="shared" si="2"/>
        <v>27AAACB2900K1ZZ-4320294867-01062024</v>
      </c>
      <c r="M356" s="8">
        <f t="shared" si="7"/>
        <v>17.99931366</v>
      </c>
      <c r="N356" s="3" t="str">
        <f t="shared" si="4"/>
        <v/>
      </c>
      <c r="O356" s="9" t="str">
        <f t="shared" si="5"/>
        <v/>
      </c>
      <c r="P356" s="3" t="str">
        <f t="shared" si="6"/>
        <v/>
      </c>
      <c r="Q356" s="3"/>
    </row>
    <row r="357" ht="15.75" customHeight="1">
      <c r="A357" s="4" t="s">
        <v>56</v>
      </c>
      <c r="B357" s="5" t="s">
        <v>57</v>
      </c>
      <c r="C357" s="5" t="s">
        <v>552</v>
      </c>
      <c r="D357" s="6">
        <v>45444.0</v>
      </c>
      <c r="E357" s="3"/>
      <c r="F357" s="3">
        <v>352474.0</v>
      </c>
      <c r="G357" s="3">
        <v>0.0</v>
      </c>
      <c r="H357" s="3">
        <v>31722.0</v>
      </c>
      <c r="I357" s="3">
        <v>31722.0</v>
      </c>
      <c r="J357" s="7">
        <f t="shared" si="1"/>
        <v>63444</v>
      </c>
      <c r="K357" s="3"/>
      <c r="L357" s="3" t="str">
        <f t="shared" si="2"/>
        <v>27AAACB2900K1ZZ-4320294869-01062024</v>
      </c>
      <c r="M357" s="8">
        <f t="shared" si="7"/>
        <v>17.9996255</v>
      </c>
      <c r="N357" s="3" t="str">
        <f t="shared" si="4"/>
        <v/>
      </c>
      <c r="O357" s="9" t="str">
        <f t="shared" si="5"/>
        <v/>
      </c>
      <c r="P357" s="3" t="str">
        <f t="shared" si="6"/>
        <v/>
      </c>
      <c r="Q357" s="3"/>
    </row>
    <row r="358" ht="15.75" customHeight="1">
      <c r="A358" s="4" t="s">
        <v>56</v>
      </c>
      <c r="B358" s="5" t="s">
        <v>57</v>
      </c>
      <c r="C358" s="5" t="s">
        <v>553</v>
      </c>
      <c r="D358" s="6">
        <v>45444.0</v>
      </c>
      <c r="E358" s="3"/>
      <c r="F358" s="3">
        <v>170770.0</v>
      </c>
      <c r="G358" s="3">
        <v>0.0</v>
      </c>
      <c r="H358" s="3">
        <v>15369.0</v>
      </c>
      <c r="I358" s="3">
        <v>15369.0</v>
      </c>
      <c r="J358" s="7">
        <f t="shared" si="1"/>
        <v>30738</v>
      </c>
      <c r="K358" s="3"/>
      <c r="L358" s="3" t="str">
        <f t="shared" si="2"/>
        <v>27AAACB2900K1ZZ-4320294875-01062024</v>
      </c>
      <c r="M358" s="8">
        <f t="shared" si="7"/>
        <v>17.99964865</v>
      </c>
      <c r="N358" s="3" t="str">
        <f t="shared" si="4"/>
        <v/>
      </c>
      <c r="O358" s="9" t="str">
        <f t="shared" si="5"/>
        <v/>
      </c>
      <c r="P358" s="3" t="str">
        <f t="shared" si="6"/>
        <v/>
      </c>
      <c r="Q358" s="3"/>
    </row>
    <row r="359" ht="15.75" customHeight="1">
      <c r="A359" s="4" t="s">
        <v>56</v>
      </c>
      <c r="B359" s="5" t="s">
        <v>57</v>
      </c>
      <c r="C359" s="5" t="s">
        <v>554</v>
      </c>
      <c r="D359" s="6">
        <v>45444.0</v>
      </c>
      <c r="E359" s="3"/>
      <c r="F359" s="3">
        <v>170770.0</v>
      </c>
      <c r="G359" s="3">
        <v>0.0</v>
      </c>
      <c r="H359" s="3">
        <v>15369.0</v>
      </c>
      <c r="I359" s="3">
        <v>15369.0</v>
      </c>
      <c r="J359" s="7">
        <f t="shared" si="1"/>
        <v>30738</v>
      </c>
      <c r="K359" s="3"/>
      <c r="L359" s="3" t="str">
        <f t="shared" si="2"/>
        <v>27AAACB2900K1ZZ-4320294877-01062024</v>
      </c>
      <c r="M359" s="8">
        <f t="shared" si="7"/>
        <v>17.99964865</v>
      </c>
      <c r="N359" s="3" t="str">
        <f t="shared" si="4"/>
        <v/>
      </c>
      <c r="O359" s="9" t="str">
        <f t="shared" si="5"/>
        <v/>
      </c>
      <c r="P359" s="3" t="str">
        <f t="shared" si="6"/>
        <v/>
      </c>
      <c r="Q359" s="3"/>
    </row>
    <row r="360" ht="15.75" customHeight="1">
      <c r="A360" s="4" t="s">
        <v>56</v>
      </c>
      <c r="B360" s="5" t="s">
        <v>57</v>
      </c>
      <c r="C360" s="5" t="s">
        <v>555</v>
      </c>
      <c r="D360" s="6">
        <v>45444.0</v>
      </c>
      <c r="E360" s="3"/>
      <c r="F360" s="3">
        <v>90882.0</v>
      </c>
      <c r="G360" s="3">
        <v>0.0</v>
      </c>
      <c r="H360" s="3">
        <v>8179.0</v>
      </c>
      <c r="I360" s="3">
        <v>8179.0</v>
      </c>
      <c r="J360" s="7">
        <f t="shared" si="1"/>
        <v>16358</v>
      </c>
      <c r="K360" s="3"/>
      <c r="L360" s="3" t="str">
        <f t="shared" si="2"/>
        <v>27AAACB2900K1ZZ-4320294885-01062024</v>
      </c>
      <c r="M360" s="8">
        <f t="shared" si="7"/>
        <v>17.99916375</v>
      </c>
      <c r="N360" s="3" t="str">
        <f t="shared" si="4"/>
        <v/>
      </c>
      <c r="O360" s="9" t="str">
        <f t="shared" si="5"/>
        <v/>
      </c>
      <c r="P360" s="3" t="str">
        <f t="shared" si="6"/>
        <v/>
      </c>
      <c r="Q360" s="3"/>
    </row>
    <row r="361" ht="15.75" customHeight="1">
      <c r="A361" s="4" t="s">
        <v>313</v>
      </c>
      <c r="B361" s="5" t="s">
        <v>314</v>
      </c>
      <c r="C361" s="5" t="s">
        <v>556</v>
      </c>
      <c r="D361" s="6">
        <v>45444.0</v>
      </c>
      <c r="E361" s="3"/>
      <c r="F361" s="3">
        <v>540.0</v>
      </c>
      <c r="G361" s="3">
        <v>0.0</v>
      </c>
      <c r="H361" s="3">
        <v>48.6</v>
      </c>
      <c r="I361" s="3">
        <v>48.6</v>
      </c>
      <c r="J361" s="7">
        <f t="shared" si="1"/>
        <v>97.2</v>
      </c>
      <c r="K361" s="3"/>
      <c r="L361" s="3" t="str">
        <f t="shared" si="2"/>
        <v>27APJPP3633C1ZZ-PTS/24-25/0932-01062024</v>
      </c>
      <c r="M361" s="8">
        <f t="shared" si="7"/>
        <v>18</v>
      </c>
      <c r="N361" s="3" t="str">
        <f t="shared" si="4"/>
        <v/>
      </c>
      <c r="O361" s="9" t="str">
        <f t="shared" si="5"/>
        <v/>
      </c>
      <c r="P361" s="3" t="str">
        <f t="shared" si="6"/>
        <v/>
      </c>
      <c r="Q361" s="3"/>
    </row>
    <row r="362" ht="15.75" customHeight="1">
      <c r="A362" s="4" t="s">
        <v>301</v>
      </c>
      <c r="B362" s="5" t="s">
        <v>302</v>
      </c>
      <c r="C362" s="5" t="s">
        <v>557</v>
      </c>
      <c r="D362" s="6">
        <v>45444.0</v>
      </c>
      <c r="E362" s="3"/>
      <c r="F362" s="3">
        <v>3289.0</v>
      </c>
      <c r="G362" s="3">
        <v>0.0</v>
      </c>
      <c r="H362" s="3">
        <v>296.01</v>
      </c>
      <c r="I362" s="3">
        <v>296.01</v>
      </c>
      <c r="J362" s="7">
        <f t="shared" si="1"/>
        <v>592.02</v>
      </c>
      <c r="K362" s="3"/>
      <c r="L362" s="3" t="str">
        <f t="shared" si="2"/>
        <v>27AAACB2100P1ZX-MHSO090624475138-01062024</v>
      </c>
      <c r="M362" s="8">
        <f t="shared" si="7"/>
        <v>18</v>
      </c>
      <c r="N362" s="3" t="str">
        <f t="shared" si="4"/>
        <v/>
      </c>
      <c r="O362" s="9" t="str">
        <f t="shared" si="5"/>
        <v/>
      </c>
      <c r="P362" s="3" t="str">
        <f t="shared" si="6"/>
        <v/>
      </c>
      <c r="Q362" s="3"/>
    </row>
    <row r="363" ht="15.75" customHeight="1">
      <c r="A363" s="4" t="s">
        <v>103</v>
      </c>
      <c r="B363" s="5" t="s">
        <v>104</v>
      </c>
      <c r="C363" s="5" t="s">
        <v>558</v>
      </c>
      <c r="D363" s="6">
        <v>45444.0</v>
      </c>
      <c r="E363" s="3"/>
      <c r="F363" s="3">
        <v>1600.0</v>
      </c>
      <c r="G363" s="3">
        <v>0.0</v>
      </c>
      <c r="H363" s="3">
        <v>0.0</v>
      </c>
      <c r="I363" s="3">
        <v>0.0</v>
      </c>
      <c r="J363" s="7">
        <f t="shared" si="1"/>
        <v>0</v>
      </c>
      <c r="K363" s="3"/>
      <c r="L363" s="3" t="str">
        <f t="shared" si="2"/>
        <v>27AAACT7966R1ZB-647942794-01062024</v>
      </c>
      <c r="M363" s="8">
        <f t="shared" si="7"/>
        <v>0</v>
      </c>
      <c r="N363" s="3" t="str">
        <f t="shared" si="4"/>
        <v/>
      </c>
      <c r="O363" s="9" t="str">
        <f t="shared" si="5"/>
        <v/>
      </c>
      <c r="P363" s="3" t="str">
        <f t="shared" si="6"/>
        <v/>
      </c>
      <c r="Q363" s="3"/>
    </row>
    <row r="364" ht="15.75" customHeight="1">
      <c r="A364" s="4" t="s">
        <v>510</v>
      </c>
      <c r="B364" s="5" t="s">
        <v>511</v>
      </c>
      <c r="C364" s="5" t="s">
        <v>559</v>
      </c>
      <c r="D364" s="6">
        <v>45444.0</v>
      </c>
      <c r="E364" s="3"/>
      <c r="F364" s="3">
        <v>4000.0</v>
      </c>
      <c r="G364" s="3">
        <v>0.0</v>
      </c>
      <c r="H364" s="3">
        <v>0.0</v>
      </c>
      <c r="I364" s="3">
        <v>0.0</v>
      </c>
      <c r="J364" s="7">
        <f t="shared" si="1"/>
        <v>0</v>
      </c>
      <c r="K364" s="3"/>
      <c r="L364" s="3" t="str">
        <f t="shared" si="2"/>
        <v>27AACCA4861C2ZY-N6002673739-01062024</v>
      </c>
      <c r="M364" s="8">
        <f t="shared" si="7"/>
        <v>0</v>
      </c>
      <c r="N364" s="3" t="str">
        <f t="shared" si="4"/>
        <v/>
      </c>
      <c r="O364" s="9" t="str">
        <f t="shared" si="5"/>
        <v/>
      </c>
      <c r="P364" s="3" t="str">
        <f t="shared" si="6"/>
        <v/>
      </c>
      <c r="Q364" s="3"/>
    </row>
    <row r="365" ht="15.75" customHeight="1">
      <c r="A365" s="4" t="s">
        <v>304</v>
      </c>
      <c r="B365" s="5" t="s">
        <v>305</v>
      </c>
      <c r="C365" s="5" t="s">
        <v>560</v>
      </c>
      <c r="D365" s="6">
        <v>45444.0</v>
      </c>
      <c r="E365" s="3"/>
      <c r="F365" s="3">
        <v>50596.0</v>
      </c>
      <c r="G365" s="3">
        <v>0.0</v>
      </c>
      <c r="H365" s="3">
        <v>4553.0</v>
      </c>
      <c r="I365" s="3">
        <v>4553.0</v>
      </c>
      <c r="J365" s="7">
        <f t="shared" si="1"/>
        <v>9106</v>
      </c>
      <c r="K365" s="3"/>
      <c r="L365" s="3" t="str">
        <f t="shared" si="2"/>
        <v>27EXUPS0582N1ZC-483-01062024</v>
      </c>
      <c r="M365" s="8">
        <f t="shared" si="7"/>
        <v>17.99747016</v>
      </c>
      <c r="N365" s="3" t="str">
        <f t="shared" si="4"/>
        <v/>
      </c>
      <c r="O365" s="9" t="str">
        <f t="shared" si="5"/>
        <v/>
      </c>
      <c r="P365" s="3" t="str">
        <f t="shared" si="6"/>
        <v/>
      </c>
      <c r="Q365" s="3"/>
    </row>
    <row r="366" ht="15.75" customHeight="1">
      <c r="A366" s="4" t="s">
        <v>41</v>
      </c>
      <c r="B366" s="5" t="s">
        <v>42</v>
      </c>
      <c r="C366" s="5" t="s">
        <v>561</v>
      </c>
      <c r="D366" s="6">
        <v>45445.0</v>
      </c>
      <c r="E366" s="3"/>
      <c r="F366" s="3">
        <v>2340.0</v>
      </c>
      <c r="G366" s="3">
        <v>0.0</v>
      </c>
      <c r="H366" s="3">
        <v>210.6</v>
      </c>
      <c r="I366" s="3">
        <v>210.6</v>
      </c>
      <c r="J366" s="7">
        <f t="shared" si="1"/>
        <v>421.2</v>
      </c>
      <c r="K366" s="3"/>
      <c r="L366" s="3" t="str">
        <f t="shared" si="2"/>
        <v>27AACCA4768Q1Z0-446-02062024</v>
      </c>
      <c r="M366" s="8">
        <f t="shared" si="7"/>
        <v>18</v>
      </c>
      <c r="N366" s="3" t="str">
        <f t="shared" si="4"/>
        <v/>
      </c>
      <c r="O366" s="9" t="str">
        <f t="shared" si="5"/>
        <v/>
      </c>
      <c r="P366" s="3" t="str">
        <f t="shared" si="6"/>
        <v/>
      </c>
      <c r="Q366" s="3"/>
    </row>
    <row r="367" ht="15.75" customHeight="1">
      <c r="A367" s="4" t="s">
        <v>562</v>
      </c>
      <c r="B367" s="5" t="s">
        <v>563</v>
      </c>
      <c r="C367" s="5" t="s">
        <v>564</v>
      </c>
      <c r="D367" s="6">
        <v>45446.0</v>
      </c>
      <c r="E367" s="3"/>
      <c r="F367" s="3">
        <v>350.0</v>
      </c>
      <c r="G367" s="3">
        <v>0.0</v>
      </c>
      <c r="H367" s="3">
        <v>31.5</v>
      </c>
      <c r="I367" s="3">
        <v>31.5</v>
      </c>
      <c r="J367" s="7">
        <f t="shared" si="1"/>
        <v>63</v>
      </c>
      <c r="K367" s="3"/>
      <c r="L367" s="3" t="str">
        <f t="shared" si="2"/>
        <v>27EVIPP5570F1Z6-4141-03062024</v>
      </c>
      <c r="M367" s="8">
        <f t="shared" si="7"/>
        <v>18</v>
      </c>
      <c r="N367" s="3" t="str">
        <f t="shared" si="4"/>
        <v/>
      </c>
      <c r="O367" s="9" t="str">
        <f t="shared" si="5"/>
        <v/>
      </c>
      <c r="P367" s="3" t="str">
        <f t="shared" si="6"/>
        <v/>
      </c>
      <c r="Q367" s="3"/>
    </row>
    <row r="368" ht="15.75" customHeight="1">
      <c r="A368" s="4" t="s">
        <v>257</v>
      </c>
      <c r="B368" s="5" t="s">
        <v>258</v>
      </c>
      <c r="C368" s="5" t="s">
        <v>565</v>
      </c>
      <c r="D368" s="6">
        <v>45446.0</v>
      </c>
      <c r="E368" s="3"/>
      <c r="F368" s="3">
        <v>539152.0</v>
      </c>
      <c r="G368" s="3">
        <v>0.0</v>
      </c>
      <c r="H368" s="3">
        <v>48523.68</v>
      </c>
      <c r="I368" s="3">
        <v>48523.68</v>
      </c>
      <c r="J368" s="7">
        <f t="shared" si="1"/>
        <v>97047.36</v>
      </c>
      <c r="K368" s="3"/>
      <c r="L368" s="3" t="str">
        <f t="shared" si="2"/>
        <v>27AACCC3441J1ZS-ST/2425/0000985-03062024</v>
      </c>
      <c r="M368" s="8">
        <f t="shared" si="7"/>
        <v>18</v>
      </c>
      <c r="N368" s="3" t="str">
        <f t="shared" si="4"/>
        <v/>
      </c>
      <c r="O368" s="9" t="str">
        <f t="shared" si="5"/>
        <v/>
      </c>
      <c r="P368" s="3" t="str">
        <f t="shared" si="6"/>
        <v/>
      </c>
      <c r="Q368" s="3"/>
    </row>
    <row r="369" ht="15.75" customHeight="1">
      <c r="A369" s="4" t="s">
        <v>66</v>
      </c>
      <c r="B369" s="5" t="s">
        <v>67</v>
      </c>
      <c r="C369" s="5" t="s">
        <v>566</v>
      </c>
      <c r="D369" s="6">
        <v>45446.0</v>
      </c>
      <c r="E369" s="3"/>
      <c r="F369" s="3">
        <v>2007.2</v>
      </c>
      <c r="G369" s="3">
        <v>0.0</v>
      </c>
      <c r="H369" s="3">
        <v>180.66</v>
      </c>
      <c r="I369" s="3">
        <v>180.66</v>
      </c>
      <c r="J369" s="7">
        <f t="shared" si="1"/>
        <v>361.32</v>
      </c>
      <c r="K369" s="3"/>
      <c r="L369" s="3" t="str">
        <f t="shared" si="2"/>
        <v>27AABFM0352J1ZH-97/24-25-03062024</v>
      </c>
      <c r="M369" s="8">
        <f t="shared" si="7"/>
        <v>18.0011957</v>
      </c>
      <c r="N369" s="3" t="str">
        <f t="shared" si="4"/>
        <v/>
      </c>
      <c r="O369" s="9" t="str">
        <f t="shared" si="5"/>
        <v/>
      </c>
      <c r="P369" s="3" t="str">
        <f t="shared" si="6"/>
        <v/>
      </c>
      <c r="Q369" s="3"/>
    </row>
    <row r="370" ht="15.75" customHeight="1">
      <c r="A370" s="4" t="s">
        <v>94</v>
      </c>
      <c r="B370" s="5" t="s">
        <v>95</v>
      </c>
      <c r="C370" s="5" t="s">
        <v>567</v>
      </c>
      <c r="D370" s="6">
        <v>45446.0</v>
      </c>
      <c r="E370" s="3"/>
      <c r="F370" s="3">
        <v>8457.06</v>
      </c>
      <c r="G370" s="3">
        <v>0.0</v>
      </c>
      <c r="H370" s="3">
        <v>745.48</v>
      </c>
      <c r="I370" s="3">
        <v>745.48</v>
      </c>
      <c r="J370" s="7">
        <f t="shared" si="1"/>
        <v>1490.96</v>
      </c>
      <c r="K370" s="3"/>
      <c r="L370" s="3" t="str">
        <f t="shared" si="2"/>
        <v>27ABSPP9163G1ZY-39-03062024</v>
      </c>
      <c r="M370" s="8">
        <f t="shared" si="7"/>
        <v>17.62976732</v>
      </c>
      <c r="N370" s="3" t="str">
        <f t="shared" si="4"/>
        <v/>
      </c>
      <c r="O370" s="9" t="str">
        <f t="shared" si="5"/>
        <v/>
      </c>
      <c r="P370" s="3" t="str">
        <f t="shared" si="6"/>
        <v/>
      </c>
      <c r="Q370" s="3"/>
    </row>
    <row r="371" ht="15.75" customHeight="1">
      <c r="A371" s="4" t="s">
        <v>165</v>
      </c>
      <c r="B371" s="5" t="s">
        <v>166</v>
      </c>
      <c r="C371" s="5" t="s">
        <v>568</v>
      </c>
      <c r="D371" s="6">
        <v>45446.0</v>
      </c>
      <c r="E371" s="3"/>
      <c r="F371" s="3">
        <v>3880.0</v>
      </c>
      <c r="G371" s="3">
        <v>0.0</v>
      </c>
      <c r="H371" s="3">
        <v>244.8</v>
      </c>
      <c r="I371" s="3">
        <v>244.8</v>
      </c>
      <c r="J371" s="7">
        <f t="shared" si="1"/>
        <v>489.6</v>
      </c>
      <c r="K371" s="3"/>
      <c r="L371" s="3" t="str">
        <f t="shared" si="2"/>
        <v>27AAPPH6742M2Z2-ME/898/2024-25-03062024</v>
      </c>
      <c r="M371" s="8">
        <f t="shared" si="7"/>
        <v>12.6185567</v>
      </c>
      <c r="N371" s="3" t="str">
        <f t="shared" si="4"/>
        <v/>
      </c>
      <c r="O371" s="9" t="str">
        <f t="shared" si="5"/>
        <v/>
      </c>
      <c r="P371" s="3" t="str">
        <f t="shared" si="6"/>
        <v/>
      </c>
      <c r="Q371" s="3"/>
    </row>
    <row r="372" ht="15.75" customHeight="1">
      <c r="A372" s="4" t="s">
        <v>322</v>
      </c>
      <c r="B372" s="5" t="s">
        <v>264</v>
      </c>
      <c r="C372" s="5" t="s">
        <v>569</v>
      </c>
      <c r="D372" s="6">
        <v>45446.0</v>
      </c>
      <c r="E372" s="3"/>
      <c r="F372" s="3">
        <v>8000.0</v>
      </c>
      <c r="G372" s="3">
        <v>0.0</v>
      </c>
      <c r="H372" s="3">
        <v>720.0</v>
      </c>
      <c r="I372" s="3">
        <v>720.0</v>
      </c>
      <c r="J372" s="7">
        <f t="shared" si="1"/>
        <v>1440</v>
      </c>
      <c r="K372" s="3"/>
      <c r="L372" s="3" t="str">
        <f t="shared" si="2"/>
        <v>27AAACB2894G1ZN-HT2527I002135784-03062024</v>
      </c>
      <c r="M372" s="8">
        <f t="shared" si="7"/>
        <v>18</v>
      </c>
      <c r="N372" s="3" t="str">
        <f t="shared" si="4"/>
        <v/>
      </c>
      <c r="O372" s="9" t="str">
        <f t="shared" si="5"/>
        <v/>
      </c>
      <c r="P372" s="3" t="str">
        <f t="shared" si="6"/>
        <v/>
      </c>
      <c r="Q372" s="3"/>
    </row>
    <row r="373" ht="15.75" customHeight="1">
      <c r="A373" s="4" t="s">
        <v>103</v>
      </c>
      <c r="B373" s="5" t="s">
        <v>104</v>
      </c>
      <c r="C373" s="5" t="s">
        <v>570</v>
      </c>
      <c r="D373" s="6">
        <v>45446.0</v>
      </c>
      <c r="E373" s="3"/>
      <c r="F373" s="3">
        <v>2600.0</v>
      </c>
      <c r="G373" s="3">
        <v>0.0</v>
      </c>
      <c r="H373" s="3">
        <v>0.0</v>
      </c>
      <c r="I373" s="3">
        <v>0.0</v>
      </c>
      <c r="J373" s="7">
        <f t="shared" si="1"/>
        <v>0</v>
      </c>
      <c r="K373" s="3"/>
      <c r="L373" s="3" t="str">
        <f t="shared" si="2"/>
        <v>27AAACT7966R1ZB-647942886-03062024</v>
      </c>
      <c r="M373" s="8">
        <f t="shared" si="7"/>
        <v>0</v>
      </c>
      <c r="N373" s="3" t="str">
        <f t="shared" si="4"/>
        <v/>
      </c>
      <c r="O373" s="9" t="str">
        <f t="shared" si="5"/>
        <v/>
      </c>
      <c r="P373" s="3" t="str">
        <f t="shared" si="6"/>
        <v/>
      </c>
      <c r="Q373" s="3"/>
    </row>
    <row r="374" ht="15.75" customHeight="1">
      <c r="A374" s="4" t="s">
        <v>103</v>
      </c>
      <c r="B374" s="5" t="s">
        <v>104</v>
      </c>
      <c r="C374" s="5" t="s">
        <v>571</v>
      </c>
      <c r="D374" s="6">
        <v>45446.0</v>
      </c>
      <c r="E374" s="3"/>
      <c r="F374" s="3">
        <v>9000.0</v>
      </c>
      <c r="G374" s="3">
        <v>0.0</v>
      </c>
      <c r="H374" s="3">
        <v>0.0</v>
      </c>
      <c r="I374" s="3">
        <v>0.0</v>
      </c>
      <c r="J374" s="7">
        <f t="shared" si="1"/>
        <v>0</v>
      </c>
      <c r="K374" s="3"/>
      <c r="L374" s="3" t="str">
        <f t="shared" si="2"/>
        <v>27AAACT7966R1ZB-647942890-03062024</v>
      </c>
      <c r="M374" s="8">
        <f t="shared" si="7"/>
        <v>0</v>
      </c>
      <c r="N374" s="3" t="str">
        <f t="shared" si="4"/>
        <v/>
      </c>
      <c r="O374" s="9" t="str">
        <f t="shared" si="5"/>
        <v/>
      </c>
      <c r="P374" s="3" t="str">
        <f t="shared" si="6"/>
        <v/>
      </c>
      <c r="Q374" s="3"/>
    </row>
    <row r="375" ht="15.75" customHeight="1">
      <c r="A375" s="4" t="s">
        <v>195</v>
      </c>
      <c r="B375" s="5" t="s">
        <v>196</v>
      </c>
      <c r="C375" s="5" t="s">
        <v>572</v>
      </c>
      <c r="D375" s="6">
        <v>45447.0</v>
      </c>
      <c r="E375" s="3"/>
      <c r="F375" s="3">
        <v>753.5</v>
      </c>
      <c r="G375" s="3">
        <v>0.0</v>
      </c>
      <c r="H375" s="3">
        <v>67.82</v>
      </c>
      <c r="I375" s="3">
        <v>67.82</v>
      </c>
      <c r="J375" s="7">
        <f t="shared" si="1"/>
        <v>135.64</v>
      </c>
      <c r="K375" s="3"/>
      <c r="L375" s="3" t="str">
        <f t="shared" si="2"/>
        <v>27ACIPK1680N1Z6-466/24-25-04062024</v>
      </c>
      <c r="M375" s="8">
        <f t="shared" si="7"/>
        <v>18.00132714</v>
      </c>
      <c r="N375" s="3" t="str">
        <f t="shared" si="4"/>
        <v/>
      </c>
      <c r="O375" s="9" t="str">
        <f t="shared" si="5"/>
        <v/>
      </c>
      <c r="P375" s="3" t="str">
        <f t="shared" si="6"/>
        <v/>
      </c>
      <c r="Q375" s="3"/>
    </row>
    <row r="376" ht="15.75" customHeight="1">
      <c r="A376" s="4" t="s">
        <v>47</v>
      </c>
      <c r="B376" s="5" t="s">
        <v>48</v>
      </c>
      <c r="C376" s="5" t="s">
        <v>573</v>
      </c>
      <c r="D376" s="6">
        <v>45447.0</v>
      </c>
      <c r="E376" s="3"/>
      <c r="F376" s="3">
        <v>141324.75</v>
      </c>
      <c r="G376" s="3">
        <v>0.0</v>
      </c>
      <c r="H376" s="3">
        <v>12719.23</v>
      </c>
      <c r="I376" s="3">
        <v>12719.23</v>
      </c>
      <c r="J376" s="7">
        <f t="shared" si="1"/>
        <v>25438.46</v>
      </c>
      <c r="K376" s="3"/>
      <c r="L376" s="3" t="str">
        <f t="shared" si="2"/>
        <v>27AAAFM2359N1ZZ-7879-04062024</v>
      </c>
      <c r="M376" s="8">
        <f t="shared" si="7"/>
        <v>18.00000354</v>
      </c>
      <c r="N376" s="3" t="str">
        <f t="shared" si="4"/>
        <v/>
      </c>
      <c r="O376" s="9" t="str">
        <f t="shared" si="5"/>
        <v/>
      </c>
      <c r="P376" s="3" t="str">
        <f t="shared" si="6"/>
        <v/>
      </c>
      <c r="Q376" s="3"/>
    </row>
    <row r="377" ht="15.75" customHeight="1">
      <c r="A377" s="4" t="s">
        <v>66</v>
      </c>
      <c r="B377" s="5" t="s">
        <v>67</v>
      </c>
      <c r="C377" s="5" t="s">
        <v>574</v>
      </c>
      <c r="D377" s="6">
        <v>45447.0</v>
      </c>
      <c r="E377" s="3"/>
      <c r="F377" s="3">
        <v>65774.8</v>
      </c>
      <c r="G377" s="3">
        <v>0.0</v>
      </c>
      <c r="H377" s="3">
        <v>5919.74</v>
      </c>
      <c r="I377" s="3">
        <v>5919.74</v>
      </c>
      <c r="J377" s="7">
        <f t="shared" si="1"/>
        <v>11839.48</v>
      </c>
      <c r="K377" s="3"/>
      <c r="L377" s="3" t="str">
        <f t="shared" si="2"/>
        <v>27AABFM0352J1ZH-98/24-25-04062024</v>
      </c>
      <c r="M377" s="8">
        <f t="shared" si="7"/>
        <v>18.00002433</v>
      </c>
      <c r="N377" s="3" t="str">
        <f t="shared" si="4"/>
        <v/>
      </c>
      <c r="O377" s="9" t="str">
        <f t="shared" si="5"/>
        <v/>
      </c>
      <c r="P377" s="3" t="str">
        <f t="shared" si="6"/>
        <v/>
      </c>
      <c r="Q377" s="3"/>
    </row>
    <row r="378" ht="15.75" customHeight="1">
      <c r="A378" s="4" t="s">
        <v>154</v>
      </c>
      <c r="B378" s="5" t="s">
        <v>155</v>
      </c>
      <c r="C378" s="5" t="s">
        <v>575</v>
      </c>
      <c r="D378" s="6">
        <v>45447.0</v>
      </c>
      <c r="E378" s="3"/>
      <c r="F378" s="3">
        <v>32678.8</v>
      </c>
      <c r="G378" s="3">
        <v>0.0</v>
      </c>
      <c r="H378" s="3">
        <v>2941.09</v>
      </c>
      <c r="I378" s="3">
        <v>2941.09</v>
      </c>
      <c r="J378" s="7">
        <f t="shared" si="1"/>
        <v>5882.18</v>
      </c>
      <c r="K378" s="3"/>
      <c r="L378" s="3" t="str">
        <f t="shared" si="2"/>
        <v>27AACFE6426A1ZW-250523-04062024</v>
      </c>
      <c r="M378" s="8">
        <f t="shared" si="7"/>
        <v>17.99998776</v>
      </c>
      <c r="N378" s="3" t="str">
        <f t="shared" si="4"/>
        <v/>
      </c>
      <c r="O378" s="9" t="str">
        <f t="shared" si="5"/>
        <v/>
      </c>
      <c r="P378" s="3" t="str">
        <f t="shared" si="6"/>
        <v/>
      </c>
      <c r="Q378" s="3"/>
    </row>
    <row r="379" ht="15.75" customHeight="1">
      <c r="A379" s="4" t="s">
        <v>139</v>
      </c>
      <c r="B379" s="5" t="s">
        <v>140</v>
      </c>
      <c r="C379" s="5" t="s">
        <v>576</v>
      </c>
      <c r="D379" s="6">
        <v>45447.0</v>
      </c>
      <c r="E379" s="3"/>
      <c r="F379" s="3">
        <v>3500.0</v>
      </c>
      <c r="G379" s="3">
        <v>0.0</v>
      </c>
      <c r="H379" s="3">
        <v>315.0</v>
      </c>
      <c r="I379" s="3">
        <v>315.0</v>
      </c>
      <c r="J379" s="7">
        <f t="shared" si="1"/>
        <v>630</v>
      </c>
      <c r="K379" s="3"/>
      <c r="L379" s="3" t="str">
        <f t="shared" si="2"/>
        <v>27AAAFU1306P1Z2-7091-04062024</v>
      </c>
      <c r="M379" s="8">
        <f t="shared" si="7"/>
        <v>18</v>
      </c>
      <c r="N379" s="3" t="str">
        <f t="shared" si="4"/>
        <v/>
      </c>
      <c r="O379" s="9" t="str">
        <f t="shared" si="5"/>
        <v/>
      </c>
      <c r="P379" s="3" t="str">
        <f t="shared" si="6"/>
        <v/>
      </c>
      <c r="Q379" s="3"/>
    </row>
    <row r="380" ht="15.75" customHeight="1">
      <c r="A380" s="4" t="s">
        <v>459</v>
      </c>
      <c r="B380" s="5" t="s">
        <v>460</v>
      </c>
      <c r="C380" s="5" t="s">
        <v>577</v>
      </c>
      <c r="D380" s="6">
        <v>45448.0</v>
      </c>
      <c r="E380" s="3"/>
      <c r="F380" s="3">
        <v>220.0</v>
      </c>
      <c r="G380" s="3">
        <v>0.0</v>
      </c>
      <c r="H380" s="3">
        <v>19.8</v>
      </c>
      <c r="I380" s="3">
        <v>19.8</v>
      </c>
      <c r="J380" s="7">
        <f t="shared" si="1"/>
        <v>39.6</v>
      </c>
      <c r="K380" s="3"/>
      <c r="L380" s="3" t="str">
        <f t="shared" si="2"/>
        <v>27AHHPD3176G1ZG-24/25-1395-05062024</v>
      </c>
      <c r="M380" s="8">
        <f t="shared" si="7"/>
        <v>18</v>
      </c>
      <c r="N380" s="3" t="str">
        <f t="shared" si="4"/>
        <v/>
      </c>
      <c r="O380" s="9" t="str">
        <f t="shared" si="5"/>
        <v/>
      </c>
      <c r="P380" s="3" t="str">
        <f t="shared" si="6"/>
        <v/>
      </c>
      <c r="Q380" s="3"/>
    </row>
    <row r="381" ht="15.75" customHeight="1">
      <c r="A381" s="4" t="s">
        <v>202</v>
      </c>
      <c r="B381" s="5" t="s">
        <v>203</v>
      </c>
      <c r="C381" s="5" t="s">
        <v>578</v>
      </c>
      <c r="D381" s="6">
        <v>45448.0</v>
      </c>
      <c r="E381" s="3"/>
      <c r="F381" s="3">
        <v>22141.2</v>
      </c>
      <c r="G381" s="3">
        <v>0.0</v>
      </c>
      <c r="H381" s="3">
        <v>1992.71</v>
      </c>
      <c r="I381" s="3">
        <v>1992.71</v>
      </c>
      <c r="J381" s="7">
        <f t="shared" si="1"/>
        <v>3985.42</v>
      </c>
      <c r="K381" s="3"/>
      <c r="L381" s="3" t="str">
        <f t="shared" si="2"/>
        <v>27AARFP2651D1Z5-1952/24-25-05062024</v>
      </c>
      <c r="M381" s="8">
        <f t="shared" si="7"/>
        <v>18.00001807</v>
      </c>
      <c r="N381" s="3" t="str">
        <f t="shared" si="4"/>
        <v/>
      </c>
      <c r="O381" s="9" t="str">
        <f t="shared" si="5"/>
        <v/>
      </c>
      <c r="P381" s="3" t="str">
        <f t="shared" si="6"/>
        <v/>
      </c>
      <c r="Q381" s="3"/>
    </row>
    <row r="382" ht="15.75" customHeight="1">
      <c r="A382" s="4" t="s">
        <v>579</v>
      </c>
      <c r="B382" s="5"/>
      <c r="C382" s="5" t="s">
        <v>580</v>
      </c>
      <c r="D382" s="6">
        <v>45448.0</v>
      </c>
      <c r="E382" s="3"/>
      <c r="F382" s="3">
        <v>4800.0</v>
      </c>
      <c r="G382" s="3">
        <v>0.0</v>
      </c>
      <c r="H382" s="3">
        <v>432.0</v>
      </c>
      <c r="I382" s="3">
        <v>432.0</v>
      </c>
      <c r="J382" s="7">
        <f t="shared" si="1"/>
        <v>864</v>
      </c>
      <c r="K382" s="3"/>
      <c r="L382" s="3" t="str">
        <f t="shared" si="2"/>
        <v/>
      </c>
      <c r="M382" s="8">
        <f t="shared" si="7"/>
        <v>18</v>
      </c>
      <c r="N382" s="3" t="str">
        <f t="shared" si="4"/>
        <v>GSTIN not entered</v>
      </c>
      <c r="O382" s="9" t="str">
        <f t="shared" si="5"/>
        <v/>
      </c>
      <c r="P382" s="3" t="str">
        <f t="shared" si="6"/>
        <v/>
      </c>
      <c r="Q382" s="3"/>
    </row>
    <row r="383" ht="15.75" customHeight="1">
      <c r="A383" s="4" t="s">
        <v>56</v>
      </c>
      <c r="B383" s="5" t="s">
        <v>57</v>
      </c>
      <c r="C383" s="5" t="s">
        <v>581</v>
      </c>
      <c r="D383" s="6">
        <v>45449.0</v>
      </c>
      <c r="E383" s="3"/>
      <c r="F383" s="3">
        <v>34728.0</v>
      </c>
      <c r="G383" s="3">
        <v>0.0</v>
      </c>
      <c r="H383" s="3">
        <v>3126.0</v>
      </c>
      <c r="I383" s="3">
        <v>3126.0</v>
      </c>
      <c r="J383" s="7">
        <f t="shared" si="1"/>
        <v>6252</v>
      </c>
      <c r="K383" s="3"/>
      <c r="L383" s="3" t="str">
        <f t="shared" si="2"/>
        <v>27AAACB2900K1ZZ-4320295225-06062024</v>
      </c>
      <c r="M383" s="8">
        <f t="shared" si="7"/>
        <v>18.00276434</v>
      </c>
      <c r="N383" s="3" t="str">
        <f t="shared" si="4"/>
        <v/>
      </c>
      <c r="O383" s="9" t="str">
        <f t="shared" si="5"/>
        <v/>
      </c>
      <c r="P383" s="3" t="str">
        <f t="shared" si="6"/>
        <v/>
      </c>
      <c r="Q383" s="3"/>
    </row>
    <row r="384" ht="15.75" customHeight="1">
      <c r="A384" s="4" t="s">
        <v>56</v>
      </c>
      <c r="B384" s="5" t="s">
        <v>57</v>
      </c>
      <c r="C384" s="5" t="s">
        <v>582</v>
      </c>
      <c r="D384" s="6">
        <v>45449.0</v>
      </c>
      <c r="E384" s="3"/>
      <c r="F384" s="3">
        <v>75330.0</v>
      </c>
      <c r="G384" s="3">
        <v>0.0</v>
      </c>
      <c r="H384" s="3">
        <v>6780.0</v>
      </c>
      <c r="I384" s="3">
        <v>6780.0</v>
      </c>
      <c r="J384" s="7">
        <f t="shared" si="1"/>
        <v>13560</v>
      </c>
      <c r="K384" s="3"/>
      <c r="L384" s="3" t="str">
        <f t="shared" si="2"/>
        <v>27AAACB2900K1ZZ-4320295229-06062024</v>
      </c>
      <c r="M384" s="8">
        <f t="shared" si="7"/>
        <v>18.0007965</v>
      </c>
      <c r="N384" s="3" t="str">
        <f t="shared" si="4"/>
        <v/>
      </c>
      <c r="O384" s="9" t="str">
        <f t="shared" si="5"/>
        <v/>
      </c>
      <c r="P384" s="3" t="str">
        <f t="shared" si="6"/>
        <v/>
      </c>
      <c r="Q384" s="3"/>
    </row>
    <row r="385" ht="15.75" customHeight="1">
      <c r="A385" s="4" t="s">
        <v>56</v>
      </c>
      <c r="B385" s="5" t="s">
        <v>57</v>
      </c>
      <c r="C385" s="5" t="s">
        <v>583</v>
      </c>
      <c r="D385" s="6">
        <v>45449.0</v>
      </c>
      <c r="E385" s="3"/>
      <c r="F385" s="3">
        <v>90882.0</v>
      </c>
      <c r="G385" s="3">
        <v>0.0</v>
      </c>
      <c r="H385" s="3">
        <v>8179.0</v>
      </c>
      <c r="I385" s="3">
        <v>8179.0</v>
      </c>
      <c r="J385" s="7">
        <f t="shared" si="1"/>
        <v>16358</v>
      </c>
      <c r="K385" s="3"/>
      <c r="L385" s="3" t="str">
        <f t="shared" si="2"/>
        <v>27AAACB2900K1ZZ-4320295231-06062024</v>
      </c>
      <c r="M385" s="8">
        <f t="shared" si="7"/>
        <v>17.99916375</v>
      </c>
      <c r="N385" s="3" t="str">
        <f t="shared" si="4"/>
        <v/>
      </c>
      <c r="O385" s="9" t="str">
        <f t="shared" si="5"/>
        <v/>
      </c>
      <c r="P385" s="3" t="str">
        <f t="shared" si="6"/>
        <v/>
      </c>
      <c r="Q385" s="3"/>
    </row>
    <row r="386" ht="15.75" customHeight="1">
      <c r="A386" s="4" t="s">
        <v>56</v>
      </c>
      <c r="B386" s="5" t="s">
        <v>57</v>
      </c>
      <c r="C386" s="5" t="s">
        <v>584</v>
      </c>
      <c r="D386" s="6">
        <v>45449.0</v>
      </c>
      <c r="E386" s="3"/>
      <c r="F386" s="3">
        <v>170770.0</v>
      </c>
      <c r="G386" s="3">
        <v>0.0</v>
      </c>
      <c r="H386" s="3">
        <v>15369.0</v>
      </c>
      <c r="I386" s="3">
        <v>15369.0</v>
      </c>
      <c r="J386" s="7">
        <f t="shared" si="1"/>
        <v>30738</v>
      </c>
      <c r="K386" s="3"/>
      <c r="L386" s="3" t="str">
        <f t="shared" si="2"/>
        <v>27AAACB2900K1ZZ-4320295233-06062024</v>
      </c>
      <c r="M386" s="8">
        <f t="shared" si="7"/>
        <v>17.99964865</v>
      </c>
      <c r="N386" s="3" t="str">
        <f t="shared" si="4"/>
        <v/>
      </c>
      <c r="O386" s="9" t="str">
        <f t="shared" si="5"/>
        <v/>
      </c>
      <c r="P386" s="3" t="str">
        <f t="shared" si="6"/>
        <v/>
      </c>
      <c r="Q386" s="3"/>
    </row>
    <row r="387" ht="15.75" customHeight="1">
      <c r="A387" s="4" t="s">
        <v>56</v>
      </c>
      <c r="B387" s="5" t="s">
        <v>57</v>
      </c>
      <c r="C387" s="5" t="s">
        <v>585</v>
      </c>
      <c r="D387" s="6">
        <v>45449.0</v>
      </c>
      <c r="E387" s="3"/>
      <c r="F387" s="3">
        <v>55212.0</v>
      </c>
      <c r="G387" s="3">
        <v>0.0</v>
      </c>
      <c r="H387" s="3">
        <v>4969.0</v>
      </c>
      <c r="I387" s="3">
        <v>4969.0</v>
      </c>
      <c r="J387" s="7">
        <f t="shared" si="1"/>
        <v>9938</v>
      </c>
      <c r="K387" s="3"/>
      <c r="L387" s="3" t="str">
        <f t="shared" si="2"/>
        <v>27AAACB2900K1ZZ-4320295235-06062024</v>
      </c>
      <c r="M387" s="8">
        <f t="shared" si="7"/>
        <v>17.99971021</v>
      </c>
      <c r="N387" s="3" t="str">
        <f t="shared" si="4"/>
        <v/>
      </c>
      <c r="O387" s="9" t="str">
        <f t="shared" si="5"/>
        <v/>
      </c>
      <c r="P387" s="3" t="str">
        <f t="shared" si="6"/>
        <v/>
      </c>
      <c r="Q387" s="3"/>
    </row>
    <row r="388" ht="15.75" customHeight="1">
      <c r="A388" s="4" t="s">
        <v>56</v>
      </c>
      <c r="B388" s="5" t="s">
        <v>57</v>
      </c>
      <c r="C388" s="5" t="s">
        <v>586</v>
      </c>
      <c r="D388" s="6">
        <v>45449.0</v>
      </c>
      <c r="E388" s="3"/>
      <c r="F388" s="3">
        <v>29336.0</v>
      </c>
      <c r="G388" s="3">
        <v>0.0</v>
      </c>
      <c r="H388" s="3">
        <v>2640.0</v>
      </c>
      <c r="I388" s="3">
        <v>2640.0</v>
      </c>
      <c r="J388" s="7">
        <f t="shared" si="1"/>
        <v>5280</v>
      </c>
      <c r="K388" s="3"/>
      <c r="L388" s="3" t="str">
        <f t="shared" si="2"/>
        <v>27AAACB2900K1ZZ-4320295236-06062024</v>
      </c>
      <c r="M388" s="8">
        <f t="shared" si="7"/>
        <v>17.99836379</v>
      </c>
      <c r="N388" s="3" t="str">
        <f t="shared" si="4"/>
        <v/>
      </c>
      <c r="O388" s="9" t="str">
        <f t="shared" si="5"/>
        <v/>
      </c>
      <c r="P388" s="3" t="str">
        <f t="shared" si="6"/>
        <v/>
      </c>
      <c r="Q388" s="3"/>
    </row>
    <row r="389" ht="15.75" customHeight="1">
      <c r="A389" s="4" t="s">
        <v>56</v>
      </c>
      <c r="B389" s="5" t="s">
        <v>57</v>
      </c>
      <c r="C389" s="5" t="s">
        <v>587</v>
      </c>
      <c r="D389" s="6">
        <v>45449.0</v>
      </c>
      <c r="E389" s="3"/>
      <c r="F389" s="3">
        <v>85112.0</v>
      </c>
      <c r="G389" s="3">
        <v>0.0</v>
      </c>
      <c r="H389" s="3">
        <v>7660.0</v>
      </c>
      <c r="I389" s="3">
        <v>7660.0</v>
      </c>
      <c r="J389" s="7">
        <f t="shared" si="1"/>
        <v>15320</v>
      </c>
      <c r="K389" s="3"/>
      <c r="L389" s="3" t="str">
        <f t="shared" si="2"/>
        <v>27AAACB2900K1ZZ-4320295238-06062024</v>
      </c>
      <c r="M389" s="8">
        <f t="shared" si="7"/>
        <v>17.99981201</v>
      </c>
      <c r="N389" s="3" t="str">
        <f t="shared" si="4"/>
        <v/>
      </c>
      <c r="O389" s="9" t="str">
        <f t="shared" si="5"/>
        <v/>
      </c>
      <c r="P389" s="3" t="str">
        <f t="shared" si="6"/>
        <v/>
      </c>
      <c r="Q389" s="3"/>
    </row>
    <row r="390" ht="15.75" customHeight="1">
      <c r="A390" s="4" t="s">
        <v>56</v>
      </c>
      <c r="B390" s="5" t="s">
        <v>57</v>
      </c>
      <c r="C390" s="5" t="s">
        <v>588</v>
      </c>
      <c r="D390" s="6">
        <v>45449.0</v>
      </c>
      <c r="E390" s="3"/>
      <c r="F390" s="3">
        <v>218072.0</v>
      </c>
      <c r="G390" s="3">
        <v>0.0</v>
      </c>
      <c r="H390" s="3">
        <v>19627.0</v>
      </c>
      <c r="I390" s="3">
        <v>19627.0</v>
      </c>
      <c r="J390" s="7">
        <f t="shared" si="1"/>
        <v>39254</v>
      </c>
      <c r="K390" s="3"/>
      <c r="L390" s="3" t="str">
        <f t="shared" si="2"/>
        <v>27AAACB2900K1ZZ-4320295223-06062024</v>
      </c>
      <c r="M390" s="8">
        <f t="shared" si="7"/>
        <v>18.00047691</v>
      </c>
      <c r="N390" s="3" t="str">
        <f t="shared" si="4"/>
        <v/>
      </c>
      <c r="O390" s="9" t="str">
        <f t="shared" si="5"/>
        <v/>
      </c>
      <c r="P390" s="3" t="str">
        <f t="shared" si="6"/>
        <v/>
      </c>
      <c r="Q390" s="3"/>
    </row>
    <row r="391" ht="15.75" customHeight="1">
      <c r="A391" s="4" t="s">
        <v>56</v>
      </c>
      <c r="B391" s="5" t="s">
        <v>57</v>
      </c>
      <c r="C391" s="5" t="s">
        <v>589</v>
      </c>
      <c r="D391" s="6">
        <v>45449.0</v>
      </c>
      <c r="E391" s="3"/>
      <c r="F391" s="3">
        <v>17364.0</v>
      </c>
      <c r="G391" s="3">
        <v>0.0</v>
      </c>
      <c r="H391" s="3">
        <v>1563.0</v>
      </c>
      <c r="I391" s="3">
        <v>1563.0</v>
      </c>
      <c r="J391" s="7">
        <f t="shared" si="1"/>
        <v>3126</v>
      </c>
      <c r="K391" s="3"/>
      <c r="L391" s="3" t="str">
        <f t="shared" si="2"/>
        <v>27AAACB2900K1ZZ-4320295224-06062024</v>
      </c>
      <c r="M391" s="8">
        <f t="shared" si="7"/>
        <v>18.00276434</v>
      </c>
      <c r="N391" s="3" t="str">
        <f t="shared" si="4"/>
        <v/>
      </c>
      <c r="O391" s="9" t="str">
        <f t="shared" si="5"/>
        <v/>
      </c>
      <c r="P391" s="3" t="str">
        <f t="shared" si="6"/>
        <v/>
      </c>
      <c r="Q391" s="3"/>
    </row>
    <row r="392" ht="15.75" customHeight="1">
      <c r="A392" s="4" t="s">
        <v>66</v>
      </c>
      <c r="B392" s="5" t="s">
        <v>67</v>
      </c>
      <c r="C392" s="5" t="s">
        <v>590</v>
      </c>
      <c r="D392" s="6">
        <v>45450.0</v>
      </c>
      <c r="E392" s="3"/>
      <c r="F392" s="3">
        <v>128189.2</v>
      </c>
      <c r="G392" s="3">
        <v>0.0</v>
      </c>
      <c r="H392" s="3">
        <v>11537.03</v>
      </c>
      <c r="I392" s="3">
        <v>11537.03</v>
      </c>
      <c r="J392" s="7">
        <f t="shared" si="1"/>
        <v>23074.06</v>
      </c>
      <c r="K392" s="3"/>
      <c r="L392" s="3" t="str">
        <f t="shared" si="2"/>
        <v>27AABFM0352J1ZH-104/24-25-07062024</v>
      </c>
      <c r="M392" s="8">
        <f t="shared" si="7"/>
        <v>18.00000312</v>
      </c>
      <c r="N392" s="3" t="str">
        <f t="shared" si="4"/>
        <v/>
      </c>
      <c r="O392" s="9" t="str">
        <f t="shared" si="5"/>
        <v/>
      </c>
      <c r="P392" s="3" t="str">
        <f t="shared" si="6"/>
        <v/>
      </c>
      <c r="Q392" s="3"/>
    </row>
    <row r="393" ht="15.75" customHeight="1">
      <c r="A393" s="4" t="s">
        <v>154</v>
      </c>
      <c r="B393" s="5" t="s">
        <v>155</v>
      </c>
      <c r="C393" s="5" t="s">
        <v>591</v>
      </c>
      <c r="D393" s="6">
        <v>45450.0</v>
      </c>
      <c r="E393" s="3"/>
      <c r="F393" s="3">
        <v>40889.2</v>
      </c>
      <c r="G393" s="3">
        <v>0.0</v>
      </c>
      <c r="H393" s="3">
        <v>3680.03</v>
      </c>
      <c r="I393" s="3">
        <v>3680.03</v>
      </c>
      <c r="J393" s="7">
        <f t="shared" si="1"/>
        <v>7360.06</v>
      </c>
      <c r="K393" s="3"/>
      <c r="L393" s="3" t="str">
        <f t="shared" si="2"/>
        <v>27AACFE6426A1ZW-250559-07062024</v>
      </c>
      <c r="M393" s="8">
        <f t="shared" si="7"/>
        <v>18.00000978</v>
      </c>
      <c r="N393" s="3" t="str">
        <f t="shared" si="4"/>
        <v/>
      </c>
      <c r="O393" s="9" t="str">
        <f t="shared" si="5"/>
        <v/>
      </c>
      <c r="P393" s="3" t="str">
        <f t="shared" si="6"/>
        <v/>
      </c>
      <c r="Q393" s="3"/>
    </row>
    <row r="394" ht="15.75" customHeight="1">
      <c r="A394" s="4" t="s">
        <v>97</v>
      </c>
      <c r="B394" s="5" t="s">
        <v>98</v>
      </c>
      <c r="C394" s="5" t="s">
        <v>592</v>
      </c>
      <c r="D394" s="6">
        <v>45450.0</v>
      </c>
      <c r="E394" s="3"/>
      <c r="F394" s="3">
        <v>345.0</v>
      </c>
      <c r="G394" s="3">
        <v>0.0</v>
      </c>
      <c r="H394" s="3">
        <v>30.150000000000002</v>
      </c>
      <c r="I394" s="3">
        <v>30.150000000000002</v>
      </c>
      <c r="J394" s="7">
        <f t="shared" si="1"/>
        <v>60.3</v>
      </c>
      <c r="K394" s="3"/>
      <c r="L394" s="3" t="str">
        <f t="shared" si="2"/>
        <v>27CBSPS4453E1Z6-2024-25/JUN054-07062024</v>
      </c>
      <c r="M394" s="8">
        <f t="shared" si="7"/>
        <v>17.47826087</v>
      </c>
      <c r="N394" s="3" t="str">
        <f t="shared" si="4"/>
        <v/>
      </c>
      <c r="O394" s="9" t="str">
        <f t="shared" si="5"/>
        <v/>
      </c>
      <c r="P394" s="3" t="str">
        <f t="shared" si="6"/>
        <v/>
      </c>
      <c r="Q394" s="3"/>
    </row>
    <row r="395" ht="15.75" customHeight="1">
      <c r="A395" s="4" t="s">
        <v>97</v>
      </c>
      <c r="B395" s="5" t="s">
        <v>98</v>
      </c>
      <c r="C395" s="5" t="s">
        <v>593</v>
      </c>
      <c r="D395" s="6">
        <v>45450.0</v>
      </c>
      <c r="E395" s="3"/>
      <c r="F395" s="3">
        <v>4490.0</v>
      </c>
      <c r="G395" s="3">
        <v>0.0</v>
      </c>
      <c r="H395" s="3">
        <v>395.1</v>
      </c>
      <c r="I395" s="3">
        <v>395.1</v>
      </c>
      <c r="J395" s="7">
        <f t="shared" si="1"/>
        <v>790.2</v>
      </c>
      <c r="K395" s="3"/>
      <c r="L395" s="3" t="str">
        <f t="shared" si="2"/>
        <v>27CBSPS4453E1Z6-2024-25/JUN069-07062024</v>
      </c>
      <c r="M395" s="8">
        <f t="shared" si="7"/>
        <v>17.59910913</v>
      </c>
      <c r="N395" s="3" t="str">
        <f t="shared" si="4"/>
        <v/>
      </c>
      <c r="O395" s="9" t="str">
        <f t="shared" si="5"/>
        <v/>
      </c>
      <c r="P395" s="3" t="str">
        <f t="shared" si="6"/>
        <v/>
      </c>
      <c r="Q395" s="3"/>
    </row>
    <row r="396" ht="15.75" customHeight="1">
      <c r="A396" s="4" t="s">
        <v>594</v>
      </c>
      <c r="B396" s="5" t="s">
        <v>595</v>
      </c>
      <c r="C396" s="5" t="s">
        <v>596</v>
      </c>
      <c r="D396" s="6">
        <v>45450.0</v>
      </c>
      <c r="E396" s="3"/>
      <c r="F396" s="3">
        <v>90.0</v>
      </c>
      <c r="G396" s="3">
        <v>0.0</v>
      </c>
      <c r="H396" s="3">
        <v>8.1</v>
      </c>
      <c r="I396" s="3">
        <v>8.1</v>
      </c>
      <c r="J396" s="7">
        <f t="shared" si="1"/>
        <v>16.2</v>
      </c>
      <c r="K396" s="3"/>
      <c r="L396" s="3" t="str">
        <f t="shared" si="2"/>
        <v>27AACHJ6853N1ZP-VIT-5861/24-25-07062024</v>
      </c>
      <c r="M396" s="8">
        <f t="shared" si="7"/>
        <v>18</v>
      </c>
      <c r="N396" s="3" t="str">
        <f t="shared" si="4"/>
        <v/>
      </c>
      <c r="O396" s="9" t="str">
        <f t="shared" si="5"/>
        <v/>
      </c>
      <c r="P396" s="3" t="str">
        <f t="shared" si="6"/>
        <v/>
      </c>
      <c r="Q396" s="3"/>
    </row>
    <row r="397" ht="15.75" customHeight="1">
      <c r="A397" s="4" t="s">
        <v>597</v>
      </c>
      <c r="B397" s="5"/>
      <c r="C397" s="5" t="s">
        <v>598</v>
      </c>
      <c r="D397" s="6">
        <v>45450.0</v>
      </c>
      <c r="E397" s="3"/>
      <c r="F397" s="3">
        <v>2250.0</v>
      </c>
      <c r="G397" s="3">
        <v>0.0</v>
      </c>
      <c r="H397" s="3">
        <v>202.5</v>
      </c>
      <c r="I397" s="3">
        <v>202.5</v>
      </c>
      <c r="J397" s="7">
        <f t="shared" si="1"/>
        <v>405</v>
      </c>
      <c r="K397" s="3"/>
      <c r="L397" s="3" t="str">
        <f t="shared" si="2"/>
        <v/>
      </c>
      <c r="M397" s="8">
        <f t="shared" si="7"/>
        <v>18</v>
      </c>
      <c r="N397" s="3" t="str">
        <f t="shared" si="4"/>
        <v>GSTIN not entered</v>
      </c>
      <c r="O397" s="9" t="str">
        <f t="shared" si="5"/>
        <v/>
      </c>
      <c r="P397" s="3" t="str">
        <f t="shared" si="6"/>
        <v/>
      </c>
      <c r="Q397" s="3"/>
    </row>
    <row r="398" ht="15.75" customHeight="1">
      <c r="A398" s="4" t="s">
        <v>599</v>
      </c>
      <c r="B398" s="5" t="s">
        <v>600</v>
      </c>
      <c r="C398" s="5" t="s">
        <v>601</v>
      </c>
      <c r="D398" s="6">
        <v>45451.0</v>
      </c>
      <c r="E398" s="3"/>
      <c r="F398" s="3">
        <v>805.2</v>
      </c>
      <c r="G398" s="3">
        <v>0.0</v>
      </c>
      <c r="H398" s="3">
        <v>72.47</v>
      </c>
      <c r="I398" s="3">
        <v>72.47</v>
      </c>
      <c r="J398" s="7">
        <f t="shared" si="1"/>
        <v>144.94</v>
      </c>
      <c r="K398" s="3"/>
      <c r="L398" s="3" t="str">
        <f t="shared" si="2"/>
        <v>27AJPPK3297B1ZO-NST/387/24-25-08062024</v>
      </c>
      <c r="M398" s="8">
        <f t="shared" si="7"/>
        <v>18.00049677</v>
      </c>
      <c r="N398" s="3" t="str">
        <f t="shared" si="4"/>
        <v/>
      </c>
      <c r="O398" s="9" t="str">
        <f t="shared" si="5"/>
        <v/>
      </c>
      <c r="P398" s="3" t="str">
        <f t="shared" si="6"/>
        <v/>
      </c>
      <c r="Q398" s="3"/>
    </row>
    <row r="399" ht="15.75" customHeight="1">
      <c r="A399" s="4" t="s">
        <v>602</v>
      </c>
      <c r="B399" s="5" t="s">
        <v>603</v>
      </c>
      <c r="C399" s="5" t="s">
        <v>604</v>
      </c>
      <c r="D399" s="6">
        <v>45451.0</v>
      </c>
      <c r="E399" s="3"/>
      <c r="F399" s="3">
        <v>654828.0</v>
      </c>
      <c r="G399" s="3">
        <v>0.0</v>
      </c>
      <c r="H399" s="3">
        <v>58934.52</v>
      </c>
      <c r="I399" s="3">
        <v>58934.52</v>
      </c>
      <c r="J399" s="7">
        <f t="shared" si="1"/>
        <v>117869.04</v>
      </c>
      <c r="K399" s="3"/>
      <c r="L399" s="3" t="str">
        <f t="shared" si="2"/>
        <v>27AABPM4584C1ZT-45-08062024</v>
      </c>
      <c r="M399" s="8">
        <f t="shared" si="7"/>
        <v>18</v>
      </c>
      <c r="N399" s="3" t="str">
        <f t="shared" si="4"/>
        <v/>
      </c>
      <c r="O399" s="9" t="str">
        <f t="shared" si="5"/>
        <v/>
      </c>
      <c r="P399" s="3" t="str">
        <f t="shared" si="6"/>
        <v/>
      </c>
      <c r="Q399" s="3"/>
    </row>
    <row r="400" ht="15.75" customHeight="1">
      <c r="A400" s="4" t="s">
        <v>602</v>
      </c>
      <c r="B400" s="5" t="s">
        <v>603</v>
      </c>
      <c r="C400" s="5" t="s">
        <v>605</v>
      </c>
      <c r="D400" s="6">
        <v>45451.0</v>
      </c>
      <c r="E400" s="3"/>
      <c r="F400" s="3">
        <v>627128.0</v>
      </c>
      <c r="G400" s="3">
        <v>0.0</v>
      </c>
      <c r="H400" s="3">
        <v>56441.52</v>
      </c>
      <c r="I400" s="3">
        <v>56441.52</v>
      </c>
      <c r="J400" s="7">
        <f t="shared" si="1"/>
        <v>112883.04</v>
      </c>
      <c r="K400" s="3"/>
      <c r="L400" s="3" t="str">
        <f t="shared" si="2"/>
        <v>27AABPM4584C1ZT-46-08062024</v>
      </c>
      <c r="M400" s="8">
        <f t="shared" si="7"/>
        <v>18</v>
      </c>
      <c r="N400" s="3" t="str">
        <f t="shared" si="4"/>
        <v/>
      </c>
      <c r="O400" s="9" t="str">
        <f t="shared" si="5"/>
        <v/>
      </c>
      <c r="P400" s="3" t="str">
        <f t="shared" si="6"/>
        <v/>
      </c>
      <c r="Q400" s="3"/>
    </row>
    <row r="401" ht="15.75" customHeight="1">
      <c r="A401" s="4" t="s">
        <v>69</v>
      </c>
      <c r="B401" s="5" t="s">
        <v>70</v>
      </c>
      <c r="C401" s="5" t="s">
        <v>606</v>
      </c>
      <c r="D401" s="6">
        <v>45451.0</v>
      </c>
      <c r="E401" s="3"/>
      <c r="F401" s="3">
        <v>21240.0</v>
      </c>
      <c r="G401" s="3">
        <v>0.0</v>
      </c>
      <c r="H401" s="3">
        <v>1911.6</v>
      </c>
      <c r="I401" s="3">
        <v>1911.6</v>
      </c>
      <c r="J401" s="7">
        <f t="shared" si="1"/>
        <v>3823.2</v>
      </c>
      <c r="K401" s="3"/>
      <c r="L401" s="3" t="str">
        <f t="shared" si="2"/>
        <v>27AAEFR8996A1ZU-1155/24-25-08062024</v>
      </c>
      <c r="M401" s="8">
        <f t="shared" si="7"/>
        <v>18</v>
      </c>
      <c r="N401" s="3" t="str">
        <f t="shared" si="4"/>
        <v/>
      </c>
      <c r="O401" s="9" t="str">
        <f t="shared" si="5"/>
        <v/>
      </c>
      <c r="P401" s="3" t="str">
        <f t="shared" si="6"/>
        <v/>
      </c>
      <c r="Q401" s="3"/>
    </row>
    <row r="402" ht="15.75" customHeight="1">
      <c r="A402" s="4" t="s">
        <v>69</v>
      </c>
      <c r="B402" s="5" t="s">
        <v>70</v>
      </c>
      <c r="C402" s="5" t="s">
        <v>607</v>
      </c>
      <c r="D402" s="6">
        <v>45451.0</v>
      </c>
      <c r="E402" s="3"/>
      <c r="F402" s="3">
        <v>2815.2</v>
      </c>
      <c r="G402" s="3">
        <v>0.0</v>
      </c>
      <c r="H402" s="3">
        <v>253.37</v>
      </c>
      <c r="I402" s="3">
        <v>253.37</v>
      </c>
      <c r="J402" s="7">
        <f t="shared" si="1"/>
        <v>506.74</v>
      </c>
      <c r="K402" s="3"/>
      <c r="L402" s="3" t="str">
        <f t="shared" si="2"/>
        <v>27AAEFR8996A1ZU-1156/24-25-08062024</v>
      </c>
      <c r="M402" s="8">
        <f t="shared" si="7"/>
        <v>18.00014209</v>
      </c>
      <c r="N402" s="3" t="str">
        <f t="shared" si="4"/>
        <v/>
      </c>
      <c r="O402" s="9" t="str">
        <f t="shared" si="5"/>
        <v/>
      </c>
      <c r="P402" s="3" t="str">
        <f t="shared" si="6"/>
        <v/>
      </c>
      <c r="Q402" s="3"/>
    </row>
    <row r="403" ht="15.75" customHeight="1">
      <c r="A403" s="4" t="s">
        <v>44</v>
      </c>
      <c r="B403" s="5" t="s">
        <v>45</v>
      </c>
      <c r="C403" s="5" t="s">
        <v>608</v>
      </c>
      <c r="D403" s="6">
        <v>45451.0</v>
      </c>
      <c r="E403" s="3"/>
      <c r="F403" s="3">
        <v>16478.55</v>
      </c>
      <c r="G403" s="3">
        <v>0.0</v>
      </c>
      <c r="H403" s="3">
        <v>1483.08</v>
      </c>
      <c r="I403" s="3">
        <v>1483.08</v>
      </c>
      <c r="J403" s="7">
        <f t="shared" si="1"/>
        <v>2966.16</v>
      </c>
      <c r="K403" s="3"/>
      <c r="L403" s="3" t="str">
        <f t="shared" si="2"/>
        <v>27BAEPA9590G1ZL-BWND/24-25/566-08062024</v>
      </c>
      <c r="M403" s="8">
        <f t="shared" si="7"/>
        <v>18.00012744</v>
      </c>
      <c r="N403" s="3" t="str">
        <f t="shared" si="4"/>
        <v/>
      </c>
      <c r="O403" s="9" t="str">
        <f t="shared" si="5"/>
        <v/>
      </c>
      <c r="P403" s="3" t="str">
        <f t="shared" si="6"/>
        <v/>
      </c>
      <c r="Q403" s="3"/>
    </row>
    <row r="404" ht="15.75" customHeight="1">
      <c r="A404" s="4" t="s">
        <v>333</v>
      </c>
      <c r="B404" s="5" t="s">
        <v>334</v>
      </c>
      <c r="C404" s="5" t="s">
        <v>609</v>
      </c>
      <c r="D404" s="6">
        <v>45451.0</v>
      </c>
      <c r="E404" s="3"/>
      <c r="F404" s="3">
        <v>39600.0</v>
      </c>
      <c r="G404" s="3">
        <v>0.0</v>
      </c>
      <c r="H404" s="3">
        <v>3564.0</v>
      </c>
      <c r="I404" s="3">
        <v>3564.0</v>
      </c>
      <c r="J404" s="7">
        <f t="shared" si="1"/>
        <v>7128</v>
      </c>
      <c r="K404" s="3"/>
      <c r="L404" s="3" t="str">
        <f t="shared" si="2"/>
        <v>27AAACD7365G1ZL-1RG2425-108-08062024</v>
      </c>
      <c r="M404" s="8">
        <f t="shared" si="7"/>
        <v>18</v>
      </c>
      <c r="N404" s="3" t="str">
        <f t="shared" si="4"/>
        <v/>
      </c>
      <c r="O404" s="9" t="str">
        <f t="shared" si="5"/>
        <v/>
      </c>
      <c r="P404" s="3" t="str">
        <f t="shared" si="6"/>
        <v/>
      </c>
      <c r="Q404" s="3"/>
    </row>
    <row r="405" ht="15.75" customHeight="1">
      <c r="A405" s="4" t="s">
        <v>38</v>
      </c>
      <c r="B405" s="5" t="s">
        <v>39</v>
      </c>
      <c r="C405" s="5" t="s">
        <v>610</v>
      </c>
      <c r="D405" s="6">
        <v>45451.0</v>
      </c>
      <c r="E405" s="3"/>
      <c r="F405" s="3">
        <v>7670.0</v>
      </c>
      <c r="G405" s="3">
        <v>0.0</v>
      </c>
      <c r="H405" s="3">
        <v>460.2</v>
      </c>
      <c r="I405" s="3">
        <v>460.2</v>
      </c>
      <c r="J405" s="7">
        <f t="shared" si="1"/>
        <v>920.4</v>
      </c>
      <c r="K405" s="3"/>
      <c r="L405" s="3" t="str">
        <f t="shared" si="2"/>
        <v>27AOVPP9192F2Z0-302-08062024</v>
      </c>
      <c r="M405" s="8">
        <f t="shared" si="7"/>
        <v>12</v>
      </c>
      <c r="N405" s="3" t="str">
        <f t="shared" si="4"/>
        <v/>
      </c>
      <c r="O405" s="9" t="str">
        <f t="shared" si="5"/>
        <v/>
      </c>
      <c r="P405" s="3" t="str">
        <f t="shared" si="6"/>
        <v/>
      </c>
      <c r="Q405" s="3"/>
    </row>
    <row r="406" ht="15.75" customHeight="1">
      <c r="A406" s="4" t="s">
        <v>611</v>
      </c>
      <c r="B406" s="5" t="s">
        <v>612</v>
      </c>
      <c r="C406" s="5" t="s">
        <v>613</v>
      </c>
      <c r="D406" s="6">
        <v>45451.0</v>
      </c>
      <c r="E406" s="3"/>
      <c r="F406" s="3">
        <v>33131.6</v>
      </c>
      <c r="G406" s="3">
        <v>0.0</v>
      </c>
      <c r="H406" s="3">
        <v>2981.84</v>
      </c>
      <c r="I406" s="3">
        <v>2981.84</v>
      </c>
      <c r="J406" s="7">
        <f t="shared" si="1"/>
        <v>5963.68</v>
      </c>
      <c r="K406" s="3"/>
      <c r="L406" s="3" t="str">
        <f t="shared" si="2"/>
        <v>27AAWPM0911G1ZL-281/2024-25-08062024</v>
      </c>
      <c r="M406" s="8">
        <f t="shared" si="7"/>
        <v>17.99997585</v>
      </c>
      <c r="N406" s="3" t="str">
        <f t="shared" si="4"/>
        <v/>
      </c>
      <c r="O406" s="9" t="str">
        <f t="shared" si="5"/>
        <v/>
      </c>
      <c r="P406" s="3" t="str">
        <f t="shared" si="6"/>
        <v/>
      </c>
      <c r="Q406" s="3"/>
    </row>
    <row r="407" ht="15.75" customHeight="1">
      <c r="A407" s="4" t="s">
        <v>76</v>
      </c>
      <c r="B407" s="5" t="s">
        <v>77</v>
      </c>
      <c r="C407" s="5" t="s">
        <v>614</v>
      </c>
      <c r="D407" s="6">
        <v>45451.0</v>
      </c>
      <c r="E407" s="3"/>
      <c r="F407" s="3">
        <v>6826.5</v>
      </c>
      <c r="G407" s="3">
        <v>0.0</v>
      </c>
      <c r="H407" s="3">
        <v>614.39</v>
      </c>
      <c r="I407" s="3">
        <v>614.39</v>
      </c>
      <c r="J407" s="7">
        <f t="shared" si="1"/>
        <v>1228.78</v>
      </c>
      <c r="K407" s="3"/>
      <c r="L407" s="3" t="str">
        <f t="shared" si="2"/>
        <v>27AAVFK8826F1ZP-KPAS/24-25/1894-08062024</v>
      </c>
      <c r="M407" s="8">
        <f t="shared" si="7"/>
        <v>18.00014649</v>
      </c>
      <c r="N407" s="3" t="str">
        <f t="shared" si="4"/>
        <v/>
      </c>
      <c r="O407" s="9" t="str">
        <f t="shared" si="5"/>
        <v/>
      </c>
      <c r="P407" s="3" t="str">
        <f t="shared" si="6"/>
        <v/>
      </c>
      <c r="Q407" s="3"/>
    </row>
    <row r="408" ht="15.75" customHeight="1">
      <c r="A408" s="4" t="s">
        <v>615</v>
      </c>
      <c r="B408" s="5"/>
      <c r="C408" s="5" t="s">
        <v>616</v>
      </c>
      <c r="D408" s="6">
        <v>45451.0</v>
      </c>
      <c r="E408" s="3"/>
      <c r="F408" s="3">
        <v>3000.0</v>
      </c>
      <c r="G408" s="3">
        <v>540.0</v>
      </c>
      <c r="H408" s="3">
        <v>0.0</v>
      </c>
      <c r="I408" s="3">
        <v>0.0</v>
      </c>
      <c r="J408" s="7">
        <f t="shared" si="1"/>
        <v>540</v>
      </c>
      <c r="K408" s="3"/>
      <c r="L408" s="3" t="str">
        <f t="shared" si="2"/>
        <v/>
      </c>
      <c r="M408" s="8">
        <f t="shared" si="7"/>
        <v>18</v>
      </c>
      <c r="N408" s="3" t="str">
        <f t="shared" si="4"/>
        <v>GSTIN not entered</v>
      </c>
      <c r="O408" s="9" t="str">
        <f t="shared" si="5"/>
        <v/>
      </c>
      <c r="P408" s="3" t="str">
        <f t="shared" si="6"/>
        <v/>
      </c>
      <c r="Q408" s="3"/>
    </row>
    <row r="409" ht="15.75" customHeight="1">
      <c r="A409" s="4" t="s">
        <v>340</v>
      </c>
      <c r="B409" s="5" t="s">
        <v>341</v>
      </c>
      <c r="C409" s="5" t="s">
        <v>617</v>
      </c>
      <c r="D409" s="6">
        <v>45451.0</v>
      </c>
      <c r="E409" s="3"/>
      <c r="F409" s="3">
        <v>1485.0</v>
      </c>
      <c r="G409" s="3">
        <v>0.0</v>
      </c>
      <c r="H409" s="3">
        <v>0.0</v>
      </c>
      <c r="I409" s="3">
        <v>0.0</v>
      </c>
      <c r="J409" s="7">
        <f t="shared" si="1"/>
        <v>0</v>
      </c>
      <c r="K409" s="3"/>
      <c r="L409" s="3" t="str">
        <f t="shared" si="2"/>
        <v>27AAEHA2018Q1Z9-24186103756-08062024</v>
      </c>
      <c r="M409" s="8">
        <f t="shared" si="7"/>
        <v>0</v>
      </c>
      <c r="N409" s="3" t="str">
        <f t="shared" si="4"/>
        <v/>
      </c>
      <c r="O409" s="9" t="str">
        <f t="shared" si="5"/>
        <v/>
      </c>
      <c r="P409" s="3" t="str">
        <f t="shared" si="6"/>
        <v/>
      </c>
      <c r="Q409" s="3"/>
    </row>
    <row r="410" ht="15.75" customHeight="1">
      <c r="A410" s="4" t="s">
        <v>602</v>
      </c>
      <c r="B410" s="5" t="s">
        <v>603</v>
      </c>
      <c r="C410" s="5" t="s">
        <v>618</v>
      </c>
      <c r="D410" s="6">
        <v>45452.0</v>
      </c>
      <c r="E410" s="3"/>
      <c r="F410" s="3">
        <v>495830.0</v>
      </c>
      <c r="G410" s="3">
        <v>0.0</v>
      </c>
      <c r="H410" s="3">
        <v>44624.7</v>
      </c>
      <c r="I410" s="3">
        <v>44624.7</v>
      </c>
      <c r="J410" s="7">
        <f t="shared" si="1"/>
        <v>89249.4</v>
      </c>
      <c r="K410" s="3"/>
      <c r="L410" s="3" t="str">
        <f t="shared" si="2"/>
        <v>27AABPM4584C1ZT-48-09062024</v>
      </c>
      <c r="M410" s="8">
        <f t="shared" si="7"/>
        <v>18</v>
      </c>
      <c r="N410" s="3" t="str">
        <f t="shared" si="4"/>
        <v/>
      </c>
      <c r="O410" s="9" t="str">
        <f t="shared" si="5"/>
        <v/>
      </c>
      <c r="P410" s="3" t="str">
        <f t="shared" si="6"/>
        <v/>
      </c>
      <c r="Q410" s="3"/>
    </row>
    <row r="411" ht="15.75" customHeight="1">
      <c r="A411" s="4" t="s">
        <v>35</v>
      </c>
      <c r="B411" s="5" t="s">
        <v>36</v>
      </c>
      <c r="C411" s="5" t="s">
        <v>619</v>
      </c>
      <c r="D411" s="6">
        <v>45452.0</v>
      </c>
      <c r="E411" s="3"/>
      <c r="F411" s="3">
        <v>2704.0</v>
      </c>
      <c r="G411" s="3">
        <v>0.0</v>
      </c>
      <c r="H411" s="3">
        <v>243.0</v>
      </c>
      <c r="I411" s="3">
        <v>243.0</v>
      </c>
      <c r="J411" s="7">
        <f t="shared" si="1"/>
        <v>486</v>
      </c>
      <c r="K411" s="3"/>
      <c r="L411" s="3" t="str">
        <f t="shared" si="2"/>
        <v>27AATPW4996L1ZA-3354-09062024</v>
      </c>
      <c r="M411" s="8">
        <f t="shared" si="7"/>
        <v>17.97337278</v>
      </c>
      <c r="N411" s="3" t="str">
        <f t="shared" si="4"/>
        <v/>
      </c>
      <c r="O411" s="9" t="str">
        <f t="shared" si="5"/>
        <v/>
      </c>
      <c r="P411" s="3" t="str">
        <f t="shared" si="6"/>
        <v/>
      </c>
      <c r="Q411" s="3"/>
    </row>
    <row r="412" ht="15.75" customHeight="1">
      <c r="A412" s="4" t="s">
        <v>35</v>
      </c>
      <c r="B412" s="5" t="s">
        <v>36</v>
      </c>
      <c r="C412" s="5" t="s">
        <v>620</v>
      </c>
      <c r="D412" s="6">
        <v>45452.0</v>
      </c>
      <c r="E412" s="3"/>
      <c r="F412" s="3">
        <v>21350.0</v>
      </c>
      <c r="G412" s="3">
        <v>0.0</v>
      </c>
      <c r="H412" s="3">
        <v>1922.0</v>
      </c>
      <c r="I412" s="3">
        <v>1922.0</v>
      </c>
      <c r="J412" s="7">
        <f t="shared" si="1"/>
        <v>3844</v>
      </c>
      <c r="K412" s="3"/>
      <c r="L412" s="3" t="str">
        <f t="shared" si="2"/>
        <v>27AATPW4996L1ZA-3347-09062024</v>
      </c>
      <c r="M412" s="8">
        <f t="shared" si="7"/>
        <v>18.00468384</v>
      </c>
      <c r="N412" s="3" t="str">
        <f t="shared" si="4"/>
        <v/>
      </c>
      <c r="O412" s="9" t="str">
        <f t="shared" si="5"/>
        <v/>
      </c>
      <c r="P412" s="3" t="str">
        <f t="shared" si="6"/>
        <v/>
      </c>
      <c r="Q412" s="3"/>
    </row>
    <row r="413" ht="15.75" customHeight="1">
      <c r="A413" s="4" t="s">
        <v>25</v>
      </c>
      <c r="B413" s="5" t="s">
        <v>26</v>
      </c>
      <c r="C413" s="5" t="s">
        <v>352</v>
      </c>
      <c r="D413" s="6">
        <v>45452.0</v>
      </c>
      <c r="E413" s="3"/>
      <c r="F413" s="3">
        <v>2634.0</v>
      </c>
      <c r="G413" s="3">
        <v>0.0</v>
      </c>
      <c r="H413" s="3">
        <v>158.04</v>
      </c>
      <c r="I413" s="3">
        <v>158.04</v>
      </c>
      <c r="J413" s="7">
        <f t="shared" si="1"/>
        <v>316.08</v>
      </c>
      <c r="K413" s="3"/>
      <c r="L413" s="3" t="str">
        <f t="shared" si="2"/>
        <v>27ADJPV3549B2ZC-265/24-25-09062024</v>
      </c>
      <c r="M413" s="8">
        <f t="shared" si="7"/>
        <v>12</v>
      </c>
      <c r="N413" s="3" t="str">
        <f t="shared" si="4"/>
        <v/>
      </c>
      <c r="O413" s="9" t="str">
        <f t="shared" si="5"/>
        <v/>
      </c>
      <c r="P413" s="3" t="str">
        <f t="shared" si="6"/>
        <v/>
      </c>
      <c r="Q413" s="3"/>
    </row>
    <row r="414" ht="15.75" customHeight="1">
      <c r="A414" s="4" t="s">
        <v>108</v>
      </c>
      <c r="B414" s="5" t="s">
        <v>109</v>
      </c>
      <c r="C414" s="5" t="s">
        <v>621</v>
      </c>
      <c r="D414" s="6">
        <v>45453.0</v>
      </c>
      <c r="E414" s="3"/>
      <c r="F414" s="3">
        <v>6501.8</v>
      </c>
      <c r="G414" s="3">
        <v>0.0</v>
      </c>
      <c r="H414" s="3">
        <v>585.16</v>
      </c>
      <c r="I414" s="3">
        <v>585.16</v>
      </c>
      <c r="J414" s="7">
        <f t="shared" si="1"/>
        <v>1170.32</v>
      </c>
      <c r="K414" s="3"/>
      <c r="L414" s="3" t="str">
        <f t="shared" si="2"/>
        <v>27AAFFM4787K1ZO-B1504/24-25-10062024</v>
      </c>
      <c r="M414" s="8">
        <f t="shared" si="7"/>
        <v>17.99993848</v>
      </c>
      <c r="N414" s="3" t="str">
        <f t="shared" si="4"/>
        <v/>
      </c>
      <c r="O414" s="9" t="str">
        <f t="shared" si="5"/>
        <v/>
      </c>
      <c r="P414" s="3" t="str">
        <f t="shared" si="6"/>
        <v/>
      </c>
      <c r="Q414" s="3"/>
    </row>
    <row r="415" ht="15.75" customHeight="1">
      <c r="A415" s="4" t="s">
        <v>22</v>
      </c>
      <c r="B415" s="5" t="s">
        <v>23</v>
      </c>
      <c r="C415" s="5" t="s">
        <v>622</v>
      </c>
      <c r="D415" s="6">
        <v>45453.0</v>
      </c>
      <c r="E415" s="3"/>
      <c r="F415" s="3">
        <v>842.24</v>
      </c>
      <c r="G415" s="3">
        <v>0.0</v>
      </c>
      <c r="H415" s="3">
        <v>75.8</v>
      </c>
      <c r="I415" s="3">
        <v>75.8</v>
      </c>
      <c r="J415" s="7">
        <f t="shared" si="1"/>
        <v>151.6</v>
      </c>
      <c r="K415" s="3"/>
      <c r="L415" s="3" t="str">
        <f t="shared" si="2"/>
        <v>27AABFS2833A1ZO-SLSLM-05800-10062024</v>
      </c>
      <c r="M415" s="8">
        <f t="shared" si="7"/>
        <v>17.99962006</v>
      </c>
      <c r="N415" s="3" t="str">
        <f t="shared" si="4"/>
        <v/>
      </c>
      <c r="O415" s="9" t="str">
        <f t="shared" si="5"/>
        <v/>
      </c>
      <c r="P415" s="3" t="str">
        <f t="shared" si="6"/>
        <v/>
      </c>
      <c r="Q415" s="3"/>
    </row>
    <row r="416" ht="15.75" customHeight="1">
      <c r="A416" s="4" t="s">
        <v>122</v>
      </c>
      <c r="B416" s="5" t="s">
        <v>123</v>
      </c>
      <c r="C416" s="5" t="s">
        <v>623</v>
      </c>
      <c r="D416" s="6">
        <v>45453.0</v>
      </c>
      <c r="E416" s="3"/>
      <c r="F416" s="3">
        <v>6075.0</v>
      </c>
      <c r="G416" s="3">
        <v>0.0</v>
      </c>
      <c r="H416" s="3">
        <v>546.75</v>
      </c>
      <c r="I416" s="3">
        <v>546.75</v>
      </c>
      <c r="J416" s="7">
        <f t="shared" si="1"/>
        <v>1093.5</v>
      </c>
      <c r="K416" s="3"/>
      <c r="L416" s="3" t="str">
        <f t="shared" si="2"/>
        <v>27ACLPS1646K1Z3-540/24-25-10062024</v>
      </c>
      <c r="M416" s="8">
        <f t="shared" si="7"/>
        <v>18</v>
      </c>
      <c r="N416" s="3" t="str">
        <f t="shared" si="4"/>
        <v/>
      </c>
      <c r="O416" s="9" t="str">
        <f t="shared" si="5"/>
        <v/>
      </c>
      <c r="P416" s="3" t="str">
        <f t="shared" si="6"/>
        <v/>
      </c>
      <c r="Q416" s="3"/>
    </row>
    <row r="417" ht="15.75" customHeight="1">
      <c r="A417" s="4" t="s">
        <v>41</v>
      </c>
      <c r="B417" s="5" t="s">
        <v>42</v>
      </c>
      <c r="C417" s="5" t="s">
        <v>624</v>
      </c>
      <c r="D417" s="6">
        <v>45453.0</v>
      </c>
      <c r="E417" s="3"/>
      <c r="F417" s="3">
        <v>487.5</v>
      </c>
      <c r="G417" s="3">
        <v>0.0</v>
      </c>
      <c r="H417" s="3">
        <v>43.88</v>
      </c>
      <c r="I417" s="3">
        <v>43.88</v>
      </c>
      <c r="J417" s="7">
        <f t="shared" si="1"/>
        <v>87.76</v>
      </c>
      <c r="K417" s="3"/>
      <c r="L417" s="3" t="str">
        <f t="shared" si="2"/>
        <v>27AACCA4768Q1Z0-508-10062024</v>
      </c>
      <c r="M417" s="8">
        <f t="shared" si="7"/>
        <v>18.00205128</v>
      </c>
      <c r="N417" s="3" t="str">
        <f t="shared" si="4"/>
        <v/>
      </c>
      <c r="O417" s="9" t="str">
        <f t="shared" si="5"/>
        <v/>
      </c>
      <c r="P417" s="3" t="str">
        <f t="shared" si="6"/>
        <v/>
      </c>
      <c r="Q417" s="3"/>
    </row>
    <row r="418" ht="15.75" customHeight="1">
      <c r="A418" s="4" t="s">
        <v>41</v>
      </c>
      <c r="B418" s="5" t="s">
        <v>42</v>
      </c>
      <c r="C418" s="5" t="s">
        <v>625</v>
      </c>
      <c r="D418" s="6">
        <v>45453.0</v>
      </c>
      <c r="E418" s="3"/>
      <c r="F418" s="3">
        <v>3900.0</v>
      </c>
      <c r="G418" s="3">
        <v>0.0</v>
      </c>
      <c r="H418" s="3">
        <v>351.0</v>
      </c>
      <c r="I418" s="3">
        <v>351.0</v>
      </c>
      <c r="J418" s="7">
        <f t="shared" si="1"/>
        <v>702</v>
      </c>
      <c r="K418" s="3"/>
      <c r="L418" s="3" t="str">
        <f t="shared" si="2"/>
        <v>27AACCA4768Q1Z0-509-10062024</v>
      </c>
      <c r="M418" s="8">
        <f t="shared" si="7"/>
        <v>18</v>
      </c>
      <c r="N418" s="3" t="str">
        <f t="shared" si="4"/>
        <v/>
      </c>
      <c r="O418" s="9" t="str">
        <f t="shared" si="5"/>
        <v/>
      </c>
      <c r="P418" s="3" t="str">
        <f t="shared" si="6"/>
        <v/>
      </c>
      <c r="Q418" s="3"/>
    </row>
    <row r="419" ht="15.75" customHeight="1">
      <c r="A419" s="4" t="s">
        <v>44</v>
      </c>
      <c r="B419" s="5" t="s">
        <v>45</v>
      </c>
      <c r="C419" s="5" t="s">
        <v>626</v>
      </c>
      <c r="D419" s="6">
        <v>45453.0</v>
      </c>
      <c r="E419" s="3"/>
      <c r="F419" s="3">
        <v>9443.25</v>
      </c>
      <c r="G419" s="3">
        <v>0.0</v>
      </c>
      <c r="H419" s="3">
        <v>849.89</v>
      </c>
      <c r="I419" s="3">
        <v>849.89</v>
      </c>
      <c r="J419" s="7">
        <f t="shared" si="1"/>
        <v>1699.78</v>
      </c>
      <c r="K419" s="3"/>
      <c r="L419" s="3" t="str">
        <f t="shared" si="2"/>
        <v>27BAEPA9590G1ZL-BWND/24-25/577-10062024</v>
      </c>
      <c r="M419" s="8">
        <f t="shared" si="7"/>
        <v>17.99994705</v>
      </c>
      <c r="N419" s="3" t="str">
        <f t="shared" si="4"/>
        <v/>
      </c>
      <c r="O419" s="9" t="str">
        <f t="shared" si="5"/>
        <v/>
      </c>
      <c r="P419" s="3" t="str">
        <f t="shared" si="6"/>
        <v/>
      </c>
      <c r="Q419" s="3"/>
    </row>
    <row r="420" ht="15.75" customHeight="1">
      <c r="A420" s="4" t="s">
        <v>154</v>
      </c>
      <c r="B420" s="5" t="s">
        <v>155</v>
      </c>
      <c r="C420" s="5" t="s">
        <v>627</v>
      </c>
      <c r="D420" s="6">
        <v>45453.0</v>
      </c>
      <c r="E420" s="3"/>
      <c r="F420" s="3">
        <v>22192.5</v>
      </c>
      <c r="G420" s="3">
        <v>0.0</v>
      </c>
      <c r="H420" s="3">
        <v>1997.33</v>
      </c>
      <c r="I420" s="3">
        <v>1997.33</v>
      </c>
      <c r="J420" s="7">
        <f t="shared" si="1"/>
        <v>3994.66</v>
      </c>
      <c r="K420" s="3"/>
      <c r="L420" s="3" t="str">
        <f t="shared" si="2"/>
        <v>27AACFE6426A1ZW-250573-10062024</v>
      </c>
      <c r="M420" s="8">
        <f t="shared" si="7"/>
        <v>18.00004506</v>
      </c>
      <c r="N420" s="3" t="str">
        <f t="shared" si="4"/>
        <v/>
      </c>
      <c r="O420" s="9" t="str">
        <f t="shared" si="5"/>
        <v/>
      </c>
      <c r="P420" s="3" t="str">
        <f t="shared" si="6"/>
        <v/>
      </c>
      <c r="Q420" s="3"/>
    </row>
    <row r="421" ht="15.75" customHeight="1">
      <c r="A421" s="4" t="s">
        <v>154</v>
      </c>
      <c r="B421" s="5" t="s">
        <v>155</v>
      </c>
      <c r="C421" s="5" t="s">
        <v>628</v>
      </c>
      <c r="D421" s="6">
        <v>45453.0</v>
      </c>
      <c r="E421" s="3"/>
      <c r="F421" s="3">
        <v>5297.6</v>
      </c>
      <c r="G421" s="3">
        <v>0.0</v>
      </c>
      <c r="H421" s="3">
        <v>476.78</v>
      </c>
      <c r="I421" s="3">
        <v>476.78</v>
      </c>
      <c r="J421" s="7">
        <f t="shared" si="1"/>
        <v>953.56</v>
      </c>
      <c r="K421" s="3"/>
      <c r="L421" s="3" t="str">
        <f t="shared" si="2"/>
        <v>27AACFE6426A1ZW-250578-10062024</v>
      </c>
      <c r="M421" s="8">
        <f t="shared" si="7"/>
        <v>17.99984899</v>
      </c>
      <c r="N421" s="3" t="str">
        <f t="shared" si="4"/>
        <v/>
      </c>
      <c r="O421" s="9" t="str">
        <f t="shared" si="5"/>
        <v/>
      </c>
      <c r="P421" s="3" t="str">
        <f t="shared" si="6"/>
        <v/>
      </c>
      <c r="Q421" s="3"/>
    </row>
    <row r="422" ht="15.75" customHeight="1">
      <c r="A422" s="4" t="s">
        <v>154</v>
      </c>
      <c r="B422" s="5" t="s">
        <v>155</v>
      </c>
      <c r="C422" s="5" t="s">
        <v>629</v>
      </c>
      <c r="D422" s="6">
        <v>45453.0</v>
      </c>
      <c r="E422" s="3"/>
      <c r="F422" s="3">
        <v>7607.6</v>
      </c>
      <c r="G422" s="3">
        <v>0.0</v>
      </c>
      <c r="H422" s="3">
        <v>684.68</v>
      </c>
      <c r="I422" s="3">
        <v>684.68</v>
      </c>
      <c r="J422" s="7">
        <f t="shared" si="1"/>
        <v>1369.36</v>
      </c>
      <c r="K422" s="3"/>
      <c r="L422" s="3" t="str">
        <f t="shared" si="2"/>
        <v>27AACFE6426A1ZW-250575-10062024</v>
      </c>
      <c r="M422" s="8">
        <f t="shared" si="7"/>
        <v>17.99989484</v>
      </c>
      <c r="N422" s="3" t="str">
        <f t="shared" si="4"/>
        <v/>
      </c>
      <c r="O422" s="9" t="str">
        <f t="shared" si="5"/>
        <v/>
      </c>
      <c r="P422" s="3" t="str">
        <f t="shared" si="6"/>
        <v/>
      </c>
      <c r="Q422" s="3"/>
    </row>
    <row r="423" ht="15.75" customHeight="1">
      <c r="A423" s="4" t="s">
        <v>165</v>
      </c>
      <c r="B423" s="5" t="s">
        <v>166</v>
      </c>
      <c r="C423" s="5" t="s">
        <v>630</v>
      </c>
      <c r="D423" s="6">
        <v>45453.0</v>
      </c>
      <c r="E423" s="3"/>
      <c r="F423" s="3">
        <v>3480.0</v>
      </c>
      <c r="G423" s="3">
        <v>0.0</v>
      </c>
      <c r="H423" s="3">
        <v>208.8</v>
      </c>
      <c r="I423" s="3">
        <v>208.8</v>
      </c>
      <c r="J423" s="7">
        <f t="shared" si="1"/>
        <v>417.6</v>
      </c>
      <c r="K423" s="3"/>
      <c r="L423" s="3" t="str">
        <f t="shared" si="2"/>
        <v>27AAPPH6742M2Z2-ME/1031/2024-25-10062024</v>
      </c>
      <c r="M423" s="8">
        <f t="shared" si="7"/>
        <v>12</v>
      </c>
      <c r="N423" s="3" t="str">
        <f t="shared" si="4"/>
        <v/>
      </c>
      <c r="O423" s="9" t="str">
        <f t="shared" si="5"/>
        <v/>
      </c>
      <c r="P423" s="3" t="str">
        <f t="shared" si="6"/>
        <v/>
      </c>
      <c r="Q423" s="3"/>
    </row>
    <row r="424" ht="15.75" customHeight="1">
      <c r="A424" s="4" t="s">
        <v>148</v>
      </c>
      <c r="B424" s="5" t="s">
        <v>149</v>
      </c>
      <c r="C424" s="5" t="s">
        <v>631</v>
      </c>
      <c r="D424" s="6">
        <v>45453.0</v>
      </c>
      <c r="E424" s="3"/>
      <c r="F424" s="3">
        <v>1000.0</v>
      </c>
      <c r="G424" s="3">
        <v>0.0</v>
      </c>
      <c r="H424" s="3">
        <v>90.0</v>
      </c>
      <c r="I424" s="3">
        <v>90.0</v>
      </c>
      <c r="J424" s="7">
        <f t="shared" si="1"/>
        <v>180</v>
      </c>
      <c r="K424" s="3"/>
      <c r="L424" s="3" t="str">
        <f t="shared" si="2"/>
        <v>27AAJCA9907C1ZN-ASSPL/24-25/0211-10062024</v>
      </c>
      <c r="M424" s="8">
        <f t="shared" si="7"/>
        <v>18</v>
      </c>
      <c r="N424" s="3" t="str">
        <f t="shared" si="4"/>
        <v/>
      </c>
      <c r="O424" s="9" t="str">
        <f t="shared" si="5"/>
        <v/>
      </c>
      <c r="P424" s="3" t="str">
        <f t="shared" si="6"/>
        <v/>
      </c>
      <c r="Q424" s="3"/>
    </row>
    <row r="425" ht="15.75" customHeight="1">
      <c r="A425" s="4" t="s">
        <v>47</v>
      </c>
      <c r="B425" s="5" t="s">
        <v>48</v>
      </c>
      <c r="C425" s="5" t="s">
        <v>632</v>
      </c>
      <c r="D425" s="6">
        <v>45454.0</v>
      </c>
      <c r="E425" s="3"/>
      <c r="F425" s="3">
        <v>127201.5</v>
      </c>
      <c r="G425" s="3">
        <v>0.0</v>
      </c>
      <c r="H425" s="3">
        <v>11448.14</v>
      </c>
      <c r="I425" s="3">
        <v>11448.14</v>
      </c>
      <c r="J425" s="7">
        <f t="shared" si="1"/>
        <v>22896.28</v>
      </c>
      <c r="K425" s="3"/>
      <c r="L425" s="3" t="str">
        <f t="shared" si="2"/>
        <v>27AAAFM2359N1ZZ-7896-11062024</v>
      </c>
      <c r="M425" s="8">
        <f t="shared" si="7"/>
        <v>18.00000786</v>
      </c>
      <c r="N425" s="3" t="str">
        <f t="shared" si="4"/>
        <v/>
      </c>
      <c r="O425" s="9" t="str">
        <f t="shared" si="5"/>
        <v/>
      </c>
      <c r="P425" s="3" t="str">
        <f t="shared" si="6"/>
        <v/>
      </c>
      <c r="Q425" s="3"/>
    </row>
    <row r="426" ht="15.75" customHeight="1">
      <c r="A426" s="4" t="s">
        <v>56</v>
      </c>
      <c r="B426" s="5" t="s">
        <v>57</v>
      </c>
      <c r="C426" s="5" t="s">
        <v>633</v>
      </c>
      <c r="D426" s="6">
        <v>45454.0</v>
      </c>
      <c r="E426" s="3"/>
      <c r="F426" s="3">
        <v>16800.0</v>
      </c>
      <c r="G426" s="3">
        <v>0.0</v>
      </c>
      <c r="H426" s="3">
        <v>1512.0</v>
      </c>
      <c r="I426" s="3">
        <v>1512.0</v>
      </c>
      <c r="J426" s="7">
        <f t="shared" si="1"/>
        <v>3024</v>
      </c>
      <c r="K426" s="3"/>
      <c r="L426" s="3" t="str">
        <f t="shared" si="2"/>
        <v>27AAACB2900K1ZZ-4320295579-11062024</v>
      </c>
      <c r="M426" s="8">
        <f t="shared" si="7"/>
        <v>18</v>
      </c>
      <c r="N426" s="3" t="str">
        <f t="shared" si="4"/>
        <v/>
      </c>
      <c r="O426" s="9" t="str">
        <f t="shared" si="5"/>
        <v/>
      </c>
      <c r="P426" s="3" t="str">
        <f t="shared" si="6"/>
        <v/>
      </c>
      <c r="Q426" s="3"/>
    </row>
    <row r="427" ht="15.75" customHeight="1">
      <c r="A427" s="4" t="s">
        <v>56</v>
      </c>
      <c r="B427" s="5" t="s">
        <v>57</v>
      </c>
      <c r="C427" s="5" t="s">
        <v>634</v>
      </c>
      <c r="D427" s="6">
        <v>45454.0</v>
      </c>
      <c r="E427" s="3"/>
      <c r="F427" s="3">
        <v>16800.0</v>
      </c>
      <c r="G427" s="3">
        <v>0.0</v>
      </c>
      <c r="H427" s="3">
        <v>1512.0</v>
      </c>
      <c r="I427" s="3">
        <v>1512.0</v>
      </c>
      <c r="J427" s="7">
        <f t="shared" si="1"/>
        <v>3024</v>
      </c>
      <c r="K427" s="3"/>
      <c r="L427" s="3" t="str">
        <f t="shared" si="2"/>
        <v>27AAACB2900K1ZZ-4320295580-11062024</v>
      </c>
      <c r="M427" s="8">
        <f t="shared" si="7"/>
        <v>18</v>
      </c>
      <c r="N427" s="3" t="str">
        <f t="shared" si="4"/>
        <v/>
      </c>
      <c r="O427" s="9" t="str">
        <f t="shared" si="5"/>
        <v/>
      </c>
      <c r="P427" s="3" t="str">
        <f t="shared" si="6"/>
        <v/>
      </c>
      <c r="Q427" s="3"/>
    </row>
    <row r="428" ht="15.75" customHeight="1">
      <c r="A428" s="4" t="s">
        <v>56</v>
      </c>
      <c r="B428" s="5" t="s">
        <v>57</v>
      </c>
      <c r="C428" s="5" t="s">
        <v>635</v>
      </c>
      <c r="D428" s="6">
        <v>45454.0</v>
      </c>
      <c r="E428" s="3"/>
      <c r="F428" s="3">
        <v>109142.0</v>
      </c>
      <c r="G428" s="3">
        <v>0.0</v>
      </c>
      <c r="H428" s="3">
        <v>9823.0</v>
      </c>
      <c r="I428" s="3">
        <v>9823.0</v>
      </c>
      <c r="J428" s="7">
        <f t="shared" si="1"/>
        <v>19646</v>
      </c>
      <c r="K428" s="3"/>
      <c r="L428" s="3" t="str">
        <f t="shared" si="2"/>
        <v>27AAACB2900K1ZZ-4320295594-11062024</v>
      </c>
      <c r="M428" s="8">
        <f t="shared" si="7"/>
        <v>18.00040314</v>
      </c>
      <c r="N428" s="3" t="str">
        <f t="shared" si="4"/>
        <v/>
      </c>
      <c r="O428" s="9" t="str">
        <f t="shared" si="5"/>
        <v/>
      </c>
      <c r="P428" s="3" t="str">
        <f t="shared" si="6"/>
        <v/>
      </c>
      <c r="Q428" s="3"/>
    </row>
    <row r="429" ht="15.75" customHeight="1">
      <c r="A429" s="4" t="s">
        <v>76</v>
      </c>
      <c r="B429" s="5" t="s">
        <v>77</v>
      </c>
      <c r="C429" s="5" t="s">
        <v>636</v>
      </c>
      <c r="D429" s="6">
        <v>45455.0</v>
      </c>
      <c r="E429" s="3"/>
      <c r="F429" s="3">
        <v>4396.95</v>
      </c>
      <c r="G429" s="3">
        <v>0.0</v>
      </c>
      <c r="H429" s="3">
        <v>395.73</v>
      </c>
      <c r="I429" s="3">
        <v>395.73</v>
      </c>
      <c r="J429" s="7">
        <f t="shared" si="1"/>
        <v>791.46</v>
      </c>
      <c r="K429" s="3"/>
      <c r="L429" s="3" t="str">
        <f t="shared" si="2"/>
        <v>27AAVFK8826F1ZP-KPAS/24-25/1980-12062024</v>
      </c>
      <c r="M429" s="8">
        <f t="shared" si="7"/>
        <v>18.00020469</v>
      </c>
      <c r="N429" s="3" t="str">
        <f t="shared" si="4"/>
        <v/>
      </c>
      <c r="O429" s="9" t="str">
        <f t="shared" si="5"/>
        <v/>
      </c>
      <c r="P429" s="3" t="str">
        <f t="shared" si="6"/>
        <v/>
      </c>
      <c r="Q429" s="3"/>
    </row>
    <row r="430" ht="15.75" customHeight="1">
      <c r="A430" s="4" t="s">
        <v>637</v>
      </c>
      <c r="B430" s="5" t="s">
        <v>638</v>
      </c>
      <c r="C430" s="5" t="s">
        <v>639</v>
      </c>
      <c r="D430" s="6">
        <v>45455.0</v>
      </c>
      <c r="E430" s="3"/>
      <c r="F430" s="3">
        <v>11000.0</v>
      </c>
      <c r="G430" s="3">
        <v>0.0</v>
      </c>
      <c r="H430" s="3">
        <v>990.0</v>
      </c>
      <c r="I430" s="3">
        <v>990.0</v>
      </c>
      <c r="J430" s="7">
        <f t="shared" si="1"/>
        <v>1980</v>
      </c>
      <c r="K430" s="3"/>
      <c r="L430" s="3" t="str">
        <f t="shared" si="2"/>
        <v>27AAAFP4596N1ZL-16626-12062024</v>
      </c>
      <c r="M430" s="8">
        <f t="shared" si="7"/>
        <v>18</v>
      </c>
      <c r="N430" s="3" t="str">
        <f t="shared" si="4"/>
        <v/>
      </c>
      <c r="O430" s="9" t="str">
        <f t="shared" si="5"/>
        <v/>
      </c>
      <c r="P430" s="3" t="str">
        <f t="shared" si="6"/>
        <v/>
      </c>
      <c r="Q430" s="3"/>
    </row>
    <row r="431" ht="15.75" customHeight="1">
      <c r="A431" s="4" t="s">
        <v>19</v>
      </c>
      <c r="B431" s="5" t="s">
        <v>20</v>
      </c>
      <c r="C431" s="5" t="s">
        <v>640</v>
      </c>
      <c r="D431" s="6">
        <v>45455.0</v>
      </c>
      <c r="E431" s="3"/>
      <c r="F431" s="3">
        <v>755.92</v>
      </c>
      <c r="G431" s="3">
        <v>0.0</v>
      </c>
      <c r="H431" s="3">
        <v>68.04</v>
      </c>
      <c r="I431" s="3">
        <v>68.04</v>
      </c>
      <c r="J431" s="7">
        <f t="shared" si="1"/>
        <v>136.08</v>
      </c>
      <c r="K431" s="3"/>
      <c r="L431" s="3" t="str">
        <f t="shared" si="2"/>
        <v>27AADCM2739E1ZL-MEPL/02618/24-25-12062024</v>
      </c>
      <c r="M431" s="8">
        <f t="shared" si="7"/>
        <v>18.00190496</v>
      </c>
      <c r="N431" s="3" t="str">
        <f t="shared" si="4"/>
        <v/>
      </c>
      <c r="O431" s="9" t="str">
        <f t="shared" si="5"/>
        <v/>
      </c>
      <c r="P431" s="3" t="str">
        <f t="shared" si="6"/>
        <v/>
      </c>
      <c r="Q431" s="3"/>
    </row>
    <row r="432" ht="15.75" customHeight="1">
      <c r="A432" s="4" t="s">
        <v>602</v>
      </c>
      <c r="B432" s="5" t="s">
        <v>603</v>
      </c>
      <c r="C432" s="5" t="s">
        <v>107</v>
      </c>
      <c r="D432" s="6">
        <v>45455.0</v>
      </c>
      <c r="E432" s="3"/>
      <c r="F432" s="3">
        <v>501370.0</v>
      </c>
      <c r="G432" s="3">
        <v>0.0</v>
      </c>
      <c r="H432" s="3">
        <v>45123.3</v>
      </c>
      <c r="I432" s="3">
        <v>45123.3</v>
      </c>
      <c r="J432" s="7">
        <f t="shared" si="1"/>
        <v>90246.6</v>
      </c>
      <c r="K432" s="3"/>
      <c r="L432" s="3" t="str">
        <f t="shared" si="2"/>
        <v>27AABPM4584C1ZT-50-12062024</v>
      </c>
      <c r="M432" s="8">
        <f t="shared" si="7"/>
        <v>18</v>
      </c>
      <c r="N432" s="3" t="str">
        <f t="shared" si="4"/>
        <v/>
      </c>
      <c r="O432" s="9" t="str">
        <f t="shared" si="5"/>
        <v/>
      </c>
      <c r="P432" s="3" t="str">
        <f t="shared" si="6"/>
        <v/>
      </c>
      <c r="Q432" s="3"/>
    </row>
    <row r="433" ht="15.75" customHeight="1">
      <c r="A433" s="4" t="s">
        <v>22</v>
      </c>
      <c r="B433" s="5" t="s">
        <v>23</v>
      </c>
      <c r="C433" s="5" t="s">
        <v>641</v>
      </c>
      <c r="D433" s="6">
        <v>45455.0</v>
      </c>
      <c r="E433" s="3"/>
      <c r="F433" s="3">
        <v>1700.0</v>
      </c>
      <c r="G433" s="3">
        <v>0.0</v>
      </c>
      <c r="H433" s="3">
        <v>153.0</v>
      </c>
      <c r="I433" s="3">
        <v>153.0</v>
      </c>
      <c r="J433" s="7">
        <f t="shared" si="1"/>
        <v>306</v>
      </c>
      <c r="K433" s="3"/>
      <c r="L433" s="3" t="str">
        <f t="shared" si="2"/>
        <v>27AABFS2833A1ZO-SLSLM-05928-12062024</v>
      </c>
      <c r="M433" s="8">
        <f t="shared" si="7"/>
        <v>18</v>
      </c>
      <c r="N433" s="3" t="str">
        <f t="shared" si="4"/>
        <v/>
      </c>
      <c r="O433" s="9" t="str">
        <f t="shared" si="5"/>
        <v/>
      </c>
      <c r="P433" s="3" t="str">
        <f t="shared" si="6"/>
        <v/>
      </c>
      <c r="Q433" s="3"/>
    </row>
    <row r="434" ht="15.75" customHeight="1">
      <c r="A434" s="4" t="s">
        <v>56</v>
      </c>
      <c r="B434" s="5" t="s">
        <v>57</v>
      </c>
      <c r="C434" s="5" t="s">
        <v>642</v>
      </c>
      <c r="D434" s="6">
        <v>45455.0</v>
      </c>
      <c r="E434" s="3"/>
      <c r="F434" s="3">
        <v>52554.0</v>
      </c>
      <c r="G434" s="3">
        <v>0.0</v>
      </c>
      <c r="H434" s="3">
        <v>4730.0</v>
      </c>
      <c r="I434" s="3">
        <v>4730.0</v>
      </c>
      <c r="J434" s="7">
        <f t="shared" si="1"/>
        <v>9460</v>
      </c>
      <c r="K434" s="3"/>
      <c r="L434" s="3" t="str">
        <f t="shared" si="2"/>
        <v>27AAACB2900K1ZZ-4320295685-12062024</v>
      </c>
      <c r="M434" s="8">
        <f t="shared" si="7"/>
        <v>18.00053279</v>
      </c>
      <c r="N434" s="3" t="str">
        <f t="shared" si="4"/>
        <v/>
      </c>
      <c r="O434" s="9" t="str">
        <f t="shared" si="5"/>
        <v/>
      </c>
      <c r="P434" s="3" t="str">
        <f t="shared" si="6"/>
        <v/>
      </c>
      <c r="Q434" s="3"/>
    </row>
    <row r="435" ht="15.75" customHeight="1">
      <c r="A435" s="4" t="s">
        <v>56</v>
      </c>
      <c r="B435" s="5" t="s">
        <v>57</v>
      </c>
      <c r="C435" s="5" t="s">
        <v>643</v>
      </c>
      <c r="D435" s="6">
        <v>45455.0</v>
      </c>
      <c r="E435" s="3"/>
      <c r="F435" s="3">
        <v>49550.0</v>
      </c>
      <c r="G435" s="3">
        <v>0.0</v>
      </c>
      <c r="H435" s="3">
        <v>4460.0</v>
      </c>
      <c r="I435" s="3">
        <v>4460.0</v>
      </c>
      <c r="J435" s="7">
        <f t="shared" si="1"/>
        <v>8920</v>
      </c>
      <c r="K435" s="3"/>
      <c r="L435" s="3" t="str">
        <f t="shared" si="2"/>
        <v>27AAACB2900K1ZZ-4320295686-12062024</v>
      </c>
      <c r="M435" s="8">
        <f t="shared" si="7"/>
        <v>18.00201816</v>
      </c>
      <c r="N435" s="3" t="str">
        <f t="shared" si="4"/>
        <v/>
      </c>
      <c r="O435" s="9" t="str">
        <f t="shared" si="5"/>
        <v/>
      </c>
      <c r="P435" s="3" t="str">
        <f t="shared" si="6"/>
        <v/>
      </c>
      <c r="Q435" s="3"/>
    </row>
    <row r="436" ht="15.75" customHeight="1">
      <c r="A436" s="4" t="s">
        <v>56</v>
      </c>
      <c r="B436" s="5" t="s">
        <v>57</v>
      </c>
      <c r="C436" s="5" t="s">
        <v>644</v>
      </c>
      <c r="D436" s="6">
        <v>45455.0</v>
      </c>
      <c r="E436" s="3"/>
      <c r="F436" s="3">
        <v>31568.0</v>
      </c>
      <c r="G436" s="3">
        <v>0.0</v>
      </c>
      <c r="H436" s="3">
        <v>2841.0</v>
      </c>
      <c r="I436" s="3">
        <v>2841.0</v>
      </c>
      <c r="J436" s="7">
        <f t="shared" si="1"/>
        <v>5682</v>
      </c>
      <c r="K436" s="3"/>
      <c r="L436" s="3" t="str">
        <f t="shared" si="2"/>
        <v>27AAACB2900K1ZZ-4320295687-12062024</v>
      </c>
      <c r="M436" s="8">
        <f t="shared" si="7"/>
        <v>17.99923974</v>
      </c>
      <c r="N436" s="3" t="str">
        <f t="shared" si="4"/>
        <v/>
      </c>
      <c r="O436" s="9" t="str">
        <f t="shared" si="5"/>
        <v/>
      </c>
      <c r="P436" s="3" t="str">
        <f t="shared" si="6"/>
        <v/>
      </c>
      <c r="Q436" s="3"/>
    </row>
    <row r="437" ht="15.75" customHeight="1">
      <c r="A437" s="4" t="s">
        <v>56</v>
      </c>
      <c r="B437" s="5" t="s">
        <v>57</v>
      </c>
      <c r="C437" s="5" t="s">
        <v>645</v>
      </c>
      <c r="D437" s="6">
        <v>45455.0</v>
      </c>
      <c r="E437" s="3"/>
      <c r="F437" s="3">
        <v>32642.0</v>
      </c>
      <c r="G437" s="3">
        <v>0.0</v>
      </c>
      <c r="H437" s="3">
        <v>2938.0</v>
      </c>
      <c r="I437" s="3">
        <v>2938.0</v>
      </c>
      <c r="J437" s="7">
        <f t="shared" si="1"/>
        <v>5876</v>
      </c>
      <c r="K437" s="3"/>
      <c r="L437" s="3" t="str">
        <f t="shared" si="2"/>
        <v>27AAACB2900K1ZZ-4320295688-12062024</v>
      </c>
      <c r="M437" s="8">
        <f t="shared" si="7"/>
        <v>18.00134796</v>
      </c>
      <c r="N437" s="3" t="str">
        <f t="shared" si="4"/>
        <v/>
      </c>
      <c r="O437" s="9" t="str">
        <f t="shared" si="5"/>
        <v/>
      </c>
      <c r="P437" s="3" t="str">
        <f t="shared" si="6"/>
        <v/>
      </c>
      <c r="Q437" s="3"/>
    </row>
    <row r="438" ht="15.75" customHeight="1">
      <c r="A438" s="4" t="s">
        <v>56</v>
      </c>
      <c r="B438" s="5" t="s">
        <v>57</v>
      </c>
      <c r="C438" s="5" t="s">
        <v>646</v>
      </c>
      <c r="D438" s="6">
        <v>45455.0</v>
      </c>
      <c r="E438" s="3"/>
      <c r="F438" s="3">
        <v>52092.0</v>
      </c>
      <c r="G438" s="3">
        <v>0.0</v>
      </c>
      <c r="H438" s="3">
        <v>4688.0</v>
      </c>
      <c r="I438" s="3">
        <v>4688.0</v>
      </c>
      <c r="J438" s="7">
        <f t="shared" si="1"/>
        <v>9376</v>
      </c>
      <c r="K438" s="3"/>
      <c r="L438" s="3" t="str">
        <f t="shared" si="2"/>
        <v>27AAACB2900K1ZZ-4320295689-12062024</v>
      </c>
      <c r="M438" s="8">
        <f t="shared" si="7"/>
        <v>17.99892498</v>
      </c>
      <c r="N438" s="3" t="str">
        <f t="shared" si="4"/>
        <v/>
      </c>
      <c r="O438" s="9" t="str">
        <f t="shared" si="5"/>
        <v/>
      </c>
      <c r="P438" s="3" t="str">
        <f t="shared" si="6"/>
        <v/>
      </c>
      <c r="Q438" s="3"/>
    </row>
    <row r="439" ht="15.75" customHeight="1">
      <c r="A439" s="4" t="s">
        <v>56</v>
      </c>
      <c r="B439" s="5" t="s">
        <v>57</v>
      </c>
      <c r="C439" s="5" t="s">
        <v>647</v>
      </c>
      <c r="D439" s="6">
        <v>45455.0</v>
      </c>
      <c r="E439" s="3"/>
      <c r="F439" s="3">
        <v>225990.0</v>
      </c>
      <c r="G439" s="3">
        <v>0.0</v>
      </c>
      <c r="H439" s="3">
        <v>20339.0</v>
      </c>
      <c r="I439" s="3">
        <v>20339.0</v>
      </c>
      <c r="J439" s="7">
        <f t="shared" si="1"/>
        <v>40678</v>
      </c>
      <c r="K439" s="3"/>
      <c r="L439" s="3" t="str">
        <f t="shared" si="2"/>
        <v>27AAACB2900K1ZZ-4320295690-12062024</v>
      </c>
      <c r="M439" s="8">
        <f t="shared" si="7"/>
        <v>17.9999115</v>
      </c>
      <c r="N439" s="3" t="str">
        <f t="shared" si="4"/>
        <v/>
      </c>
      <c r="O439" s="9" t="str">
        <f t="shared" si="5"/>
        <v/>
      </c>
      <c r="P439" s="3" t="str">
        <f t="shared" si="6"/>
        <v/>
      </c>
      <c r="Q439" s="3"/>
    </row>
    <row r="440" ht="15.75" customHeight="1">
      <c r="A440" s="4" t="s">
        <v>56</v>
      </c>
      <c r="B440" s="5" t="s">
        <v>57</v>
      </c>
      <c r="C440" s="5" t="s">
        <v>648</v>
      </c>
      <c r="D440" s="6">
        <v>45455.0</v>
      </c>
      <c r="E440" s="3"/>
      <c r="F440" s="3">
        <v>170770.0</v>
      </c>
      <c r="G440" s="3">
        <v>0.0</v>
      </c>
      <c r="H440" s="3">
        <v>15369.0</v>
      </c>
      <c r="I440" s="3">
        <v>15369.0</v>
      </c>
      <c r="J440" s="7">
        <f t="shared" si="1"/>
        <v>30738</v>
      </c>
      <c r="K440" s="3"/>
      <c r="L440" s="3" t="str">
        <f t="shared" si="2"/>
        <v>27AAACB2900K1ZZ-4320295711-12062024</v>
      </c>
      <c r="M440" s="8">
        <f t="shared" si="7"/>
        <v>17.99964865</v>
      </c>
      <c r="N440" s="3" t="str">
        <f t="shared" si="4"/>
        <v/>
      </c>
      <c r="O440" s="9" t="str">
        <f t="shared" si="5"/>
        <v/>
      </c>
      <c r="P440" s="3" t="str">
        <f t="shared" si="6"/>
        <v/>
      </c>
      <c r="Q440" s="3"/>
    </row>
    <row r="441" ht="15.75" customHeight="1">
      <c r="A441" s="4" t="s">
        <v>56</v>
      </c>
      <c r="B441" s="5" t="s">
        <v>57</v>
      </c>
      <c r="C441" s="5" t="s">
        <v>649</v>
      </c>
      <c r="D441" s="6">
        <v>45455.0</v>
      </c>
      <c r="E441" s="3"/>
      <c r="F441" s="3">
        <v>35636.0</v>
      </c>
      <c r="G441" s="3">
        <v>0.0</v>
      </c>
      <c r="H441" s="3">
        <v>3207.0</v>
      </c>
      <c r="I441" s="3">
        <v>3207.0</v>
      </c>
      <c r="J441" s="7">
        <f t="shared" si="1"/>
        <v>6414</v>
      </c>
      <c r="K441" s="3"/>
      <c r="L441" s="3" t="str">
        <f t="shared" si="2"/>
        <v>27AAACB2900K1ZZ-4320295714-12062024</v>
      </c>
      <c r="M441" s="8">
        <f t="shared" si="7"/>
        <v>17.99865305</v>
      </c>
      <c r="N441" s="3" t="str">
        <f t="shared" si="4"/>
        <v/>
      </c>
      <c r="O441" s="9" t="str">
        <f t="shared" si="5"/>
        <v/>
      </c>
      <c r="P441" s="3" t="str">
        <f t="shared" si="6"/>
        <v/>
      </c>
      <c r="Q441" s="3"/>
    </row>
    <row r="442" ht="15.75" customHeight="1">
      <c r="A442" s="4" t="s">
        <v>56</v>
      </c>
      <c r="B442" s="5" t="s">
        <v>57</v>
      </c>
      <c r="C442" s="5" t="s">
        <v>650</v>
      </c>
      <c r="D442" s="6">
        <v>45455.0</v>
      </c>
      <c r="E442" s="3"/>
      <c r="F442" s="3">
        <v>178180.0</v>
      </c>
      <c r="G442" s="3">
        <v>0.0</v>
      </c>
      <c r="H442" s="3">
        <v>16036.0</v>
      </c>
      <c r="I442" s="3">
        <v>16036.0</v>
      </c>
      <c r="J442" s="7">
        <f t="shared" si="1"/>
        <v>32072</v>
      </c>
      <c r="K442" s="3"/>
      <c r="L442" s="3" t="str">
        <f t="shared" si="2"/>
        <v>27AAACB2900K1ZZ-4320295715-12062024</v>
      </c>
      <c r="M442" s="8">
        <f t="shared" si="7"/>
        <v>17.99977551</v>
      </c>
      <c r="N442" s="3" t="str">
        <f t="shared" si="4"/>
        <v/>
      </c>
      <c r="O442" s="9" t="str">
        <f t="shared" si="5"/>
        <v/>
      </c>
      <c r="P442" s="3" t="str">
        <f t="shared" si="6"/>
        <v/>
      </c>
      <c r="Q442" s="3"/>
    </row>
    <row r="443" ht="15.75" customHeight="1">
      <c r="A443" s="4" t="s">
        <v>56</v>
      </c>
      <c r="B443" s="5" t="s">
        <v>57</v>
      </c>
      <c r="C443" s="5" t="s">
        <v>651</v>
      </c>
      <c r="D443" s="6">
        <v>45455.0</v>
      </c>
      <c r="E443" s="3"/>
      <c r="F443" s="3">
        <v>106908.0</v>
      </c>
      <c r="G443" s="3">
        <v>0.0</v>
      </c>
      <c r="H443" s="3">
        <v>9622.0</v>
      </c>
      <c r="I443" s="3">
        <v>9622.0</v>
      </c>
      <c r="J443" s="7">
        <f t="shared" si="1"/>
        <v>19244</v>
      </c>
      <c r="K443" s="3"/>
      <c r="L443" s="3" t="str">
        <f t="shared" si="2"/>
        <v>27AAACB2900K1ZZ-4320295716-12062024</v>
      </c>
      <c r="M443" s="8">
        <f t="shared" si="7"/>
        <v>18.00052381</v>
      </c>
      <c r="N443" s="3" t="str">
        <f t="shared" si="4"/>
        <v/>
      </c>
      <c r="O443" s="9" t="str">
        <f t="shared" si="5"/>
        <v/>
      </c>
      <c r="P443" s="3" t="str">
        <f t="shared" si="6"/>
        <v/>
      </c>
      <c r="Q443" s="3"/>
    </row>
    <row r="444" ht="15.75" customHeight="1">
      <c r="A444" s="4" t="s">
        <v>66</v>
      </c>
      <c r="B444" s="5" t="s">
        <v>67</v>
      </c>
      <c r="C444" s="5" t="s">
        <v>652</v>
      </c>
      <c r="D444" s="6">
        <v>45455.0</v>
      </c>
      <c r="E444" s="3"/>
      <c r="F444" s="3">
        <v>1626.56</v>
      </c>
      <c r="G444" s="3">
        <v>0.0</v>
      </c>
      <c r="H444" s="3">
        <v>146.39</v>
      </c>
      <c r="I444" s="3">
        <v>146.39</v>
      </c>
      <c r="J444" s="7">
        <f t="shared" si="1"/>
        <v>292.78</v>
      </c>
      <c r="K444" s="3"/>
      <c r="L444" s="3" t="str">
        <f t="shared" si="2"/>
        <v>27AABFM0352J1ZH-112/24-25-12062024</v>
      </c>
      <c r="M444" s="8">
        <f t="shared" si="7"/>
        <v>17.99995082</v>
      </c>
      <c r="N444" s="3" t="str">
        <f t="shared" si="4"/>
        <v/>
      </c>
      <c r="O444" s="9" t="str">
        <f t="shared" si="5"/>
        <v/>
      </c>
      <c r="P444" s="3" t="str">
        <f t="shared" si="6"/>
        <v/>
      </c>
      <c r="Q444" s="3"/>
    </row>
    <row r="445" ht="15.75" customHeight="1">
      <c r="A445" s="4" t="s">
        <v>66</v>
      </c>
      <c r="B445" s="5" t="s">
        <v>67</v>
      </c>
      <c r="C445" s="5" t="s">
        <v>653</v>
      </c>
      <c r="D445" s="6">
        <v>45455.0</v>
      </c>
      <c r="E445" s="3"/>
      <c r="F445" s="3">
        <v>7093.8</v>
      </c>
      <c r="G445" s="3">
        <v>0.0</v>
      </c>
      <c r="H445" s="3">
        <v>638.45</v>
      </c>
      <c r="I445" s="3">
        <v>638.45</v>
      </c>
      <c r="J445" s="7">
        <f t="shared" si="1"/>
        <v>1276.9</v>
      </c>
      <c r="K445" s="3"/>
      <c r="L445" s="3" t="str">
        <f t="shared" si="2"/>
        <v>27AABFM0352J1ZH-113/24-25-12062024</v>
      </c>
      <c r="M445" s="8">
        <f t="shared" si="7"/>
        <v>18.00022555</v>
      </c>
      <c r="N445" s="3" t="str">
        <f t="shared" si="4"/>
        <v/>
      </c>
      <c r="O445" s="9" t="str">
        <f t="shared" si="5"/>
        <v/>
      </c>
      <c r="P445" s="3" t="str">
        <f t="shared" si="6"/>
        <v/>
      </c>
      <c r="Q445" s="3"/>
    </row>
    <row r="446" ht="15.75" customHeight="1">
      <c r="A446" s="4" t="s">
        <v>66</v>
      </c>
      <c r="B446" s="5" t="s">
        <v>67</v>
      </c>
      <c r="C446" s="5" t="s">
        <v>654</v>
      </c>
      <c r="D446" s="6">
        <v>45455.0</v>
      </c>
      <c r="E446" s="3"/>
      <c r="F446" s="3">
        <v>15515.7</v>
      </c>
      <c r="G446" s="3">
        <v>0.0</v>
      </c>
      <c r="H446" s="3">
        <v>1396.42</v>
      </c>
      <c r="I446" s="3">
        <v>1396.42</v>
      </c>
      <c r="J446" s="7">
        <f t="shared" si="1"/>
        <v>2792.84</v>
      </c>
      <c r="K446" s="3"/>
      <c r="L446" s="3" t="str">
        <f t="shared" si="2"/>
        <v>27AABFM0352J1ZH-114/24-25-12062024</v>
      </c>
      <c r="M446" s="8">
        <f t="shared" si="7"/>
        <v>18.00009023</v>
      </c>
      <c r="N446" s="3" t="str">
        <f t="shared" si="4"/>
        <v/>
      </c>
      <c r="O446" s="9" t="str">
        <f t="shared" si="5"/>
        <v/>
      </c>
      <c r="P446" s="3" t="str">
        <f t="shared" si="6"/>
        <v/>
      </c>
      <c r="Q446" s="3"/>
    </row>
    <row r="447" ht="15.75" customHeight="1">
      <c r="A447" s="4" t="s">
        <v>97</v>
      </c>
      <c r="B447" s="5" t="s">
        <v>98</v>
      </c>
      <c r="C447" s="5" t="s">
        <v>655</v>
      </c>
      <c r="D447" s="6">
        <v>45455.0</v>
      </c>
      <c r="E447" s="3"/>
      <c r="F447" s="3">
        <v>347.6</v>
      </c>
      <c r="G447" s="3">
        <v>0.0</v>
      </c>
      <c r="H447" s="3">
        <v>31.28</v>
      </c>
      <c r="I447" s="3">
        <v>31.28</v>
      </c>
      <c r="J447" s="7">
        <f t="shared" si="1"/>
        <v>62.56</v>
      </c>
      <c r="K447" s="3"/>
      <c r="L447" s="3" t="str">
        <f t="shared" si="2"/>
        <v>27CBSPS4453E1Z6-2024-25/JUN122-12062024</v>
      </c>
      <c r="M447" s="8">
        <f t="shared" si="7"/>
        <v>17.9976985</v>
      </c>
      <c r="N447" s="3" t="str">
        <f t="shared" si="4"/>
        <v/>
      </c>
      <c r="O447" s="9" t="str">
        <f t="shared" si="5"/>
        <v/>
      </c>
      <c r="P447" s="3" t="str">
        <f t="shared" si="6"/>
        <v/>
      </c>
      <c r="Q447" s="3"/>
    </row>
    <row r="448" ht="15.75" customHeight="1">
      <c r="A448" s="4" t="s">
        <v>145</v>
      </c>
      <c r="B448" s="5" t="s">
        <v>146</v>
      </c>
      <c r="C448" s="5" t="s">
        <v>656</v>
      </c>
      <c r="D448" s="6">
        <v>45455.0</v>
      </c>
      <c r="E448" s="3"/>
      <c r="F448" s="3">
        <v>7000.0</v>
      </c>
      <c r="G448" s="3">
        <v>0.0</v>
      </c>
      <c r="H448" s="3">
        <v>630.0</v>
      </c>
      <c r="I448" s="3">
        <v>630.0</v>
      </c>
      <c r="J448" s="7">
        <f t="shared" si="1"/>
        <v>1260</v>
      </c>
      <c r="K448" s="3"/>
      <c r="L448" s="3" t="str">
        <f t="shared" si="2"/>
        <v>27BCJPS9427F1Z4-2113/24-25-12062024</v>
      </c>
      <c r="M448" s="8">
        <f t="shared" si="7"/>
        <v>18</v>
      </c>
      <c r="N448" s="3" t="str">
        <f t="shared" si="4"/>
        <v/>
      </c>
      <c r="O448" s="9" t="str">
        <f t="shared" si="5"/>
        <v/>
      </c>
      <c r="P448" s="3" t="str">
        <f t="shared" si="6"/>
        <v/>
      </c>
      <c r="Q448" s="3"/>
    </row>
    <row r="449" ht="15.75" customHeight="1">
      <c r="A449" s="4" t="s">
        <v>169</v>
      </c>
      <c r="B449" s="5" t="s">
        <v>170</v>
      </c>
      <c r="C449" s="5" t="s">
        <v>657</v>
      </c>
      <c r="D449" s="6">
        <v>45456.0</v>
      </c>
      <c r="E449" s="3"/>
      <c r="F449" s="3">
        <v>400.0</v>
      </c>
      <c r="G449" s="3">
        <v>0.0</v>
      </c>
      <c r="H449" s="3">
        <v>36.0</v>
      </c>
      <c r="I449" s="3">
        <v>36.0</v>
      </c>
      <c r="J449" s="7">
        <f t="shared" si="1"/>
        <v>72</v>
      </c>
      <c r="K449" s="3"/>
      <c r="L449" s="3" t="str">
        <f t="shared" si="2"/>
        <v>27ADJPR1065Q1ZV-SMI/442/24-25-13062024</v>
      </c>
      <c r="M449" s="8">
        <f t="shared" si="7"/>
        <v>18</v>
      </c>
      <c r="N449" s="3" t="str">
        <f t="shared" si="4"/>
        <v/>
      </c>
      <c r="O449" s="9" t="str">
        <f t="shared" si="5"/>
        <v/>
      </c>
      <c r="P449" s="3" t="str">
        <f t="shared" si="6"/>
        <v/>
      </c>
      <c r="Q449" s="3"/>
    </row>
    <row r="450" ht="15.75" customHeight="1">
      <c r="A450" s="4" t="s">
        <v>169</v>
      </c>
      <c r="B450" s="5" t="s">
        <v>170</v>
      </c>
      <c r="C450" s="5" t="s">
        <v>658</v>
      </c>
      <c r="D450" s="6">
        <v>45456.0</v>
      </c>
      <c r="E450" s="3"/>
      <c r="F450" s="3">
        <v>850.0</v>
      </c>
      <c r="G450" s="3">
        <v>0.0</v>
      </c>
      <c r="H450" s="3">
        <v>76.5</v>
      </c>
      <c r="I450" s="3">
        <v>76.5</v>
      </c>
      <c r="J450" s="7">
        <f t="shared" si="1"/>
        <v>153</v>
      </c>
      <c r="K450" s="3"/>
      <c r="L450" s="3" t="str">
        <f t="shared" si="2"/>
        <v>27ADJPR1065Q1ZV-SMI/446/24-25-13062024</v>
      </c>
      <c r="M450" s="8">
        <f t="shared" si="7"/>
        <v>18</v>
      </c>
      <c r="N450" s="3" t="str">
        <f t="shared" si="4"/>
        <v/>
      </c>
      <c r="O450" s="9" t="str">
        <f t="shared" si="5"/>
        <v/>
      </c>
      <c r="P450" s="3" t="str">
        <f t="shared" si="6"/>
        <v/>
      </c>
      <c r="Q450" s="3"/>
    </row>
    <row r="451" ht="15.75" customHeight="1">
      <c r="A451" s="4" t="s">
        <v>47</v>
      </c>
      <c r="B451" s="5" t="s">
        <v>48</v>
      </c>
      <c r="C451" s="5" t="s">
        <v>659</v>
      </c>
      <c r="D451" s="6">
        <v>45457.0</v>
      </c>
      <c r="E451" s="3"/>
      <c r="F451" s="3">
        <v>15954.75</v>
      </c>
      <c r="G451" s="3">
        <v>0.0</v>
      </c>
      <c r="H451" s="3">
        <v>1435.93</v>
      </c>
      <c r="I451" s="3">
        <v>1435.93</v>
      </c>
      <c r="J451" s="7">
        <f t="shared" si="1"/>
        <v>2871.86</v>
      </c>
      <c r="K451" s="3"/>
      <c r="L451" s="3" t="str">
        <f t="shared" si="2"/>
        <v>27AAAFM2359N1ZZ-7907-14062024</v>
      </c>
      <c r="M451" s="8">
        <f t="shared" si="7"/>
        <v>18.00003134</v>
      </c>
      <c r="N451" s="3" t="str">
        <f t="shared" si="4"/>
        <v/>
      </c>
      <c r="O451" s="9" t="str">
        <f t="shared" si="5"/>
        <v/>
      </c>
      <c r="P451" s="3" t="str">
        <f t="shared" si="6"/>
        <v/>
      </c>
      <c r="Q451" s="3"/>
    </row>
    <row r="452" ht="15.75" customHeight="1">
      <c r="A452" s="4" t="s">
        <v>195</v>
      </c>
      <c r="B452" s="5" t="s">
        <v>196</v>
      </c>
      <c r="C452" s="5" t="s">
        <v>660</v>
      </c>
      <c r="D452" s="6">
        <v>45457.0</v>
      </c>
      <c r="E452" s="3"/>
      <c r="F452" s="3">
        <v>200.0</v>
      </c>
      <c r="G452" s="3">
        <v>0.0</v>
      </c>
      <c r="H452" s="3">
        <v>18.0</v>
      </c>
      <c r="I452" s="3">
        <v>18.0</v>
      </c>
      <c r="J452" s="7">
        <f t="shared" si="1"/>
        <v>36</v>
      </c>
      <c r="K452" s="3"/>
      <c r="L452" s="3" t="str">
        <f t="shared" si="2"/>
        <v>27ACIPK1680N1Z6-541/24-25-14062024</v>
      </c>
      <c r="M452" s="8">
        <f t="shared" si="7"/>
        <v>18</v>
      </c>
      <c r="N452" s="3" t="str">
        <f t="shared" si="4"/>
        <v/>
      </c>
      <c r="O452" s="9" t="str">
        <f t="shared" si="5"/>
        <v/>
      </c>
      <c r="P452" s="3" t="str">
        <f t="shared" si="6"/>
        <v/>
      </c>
      <c r="Q452" s="3"/>
    </row>
    <row r="453" ht="15.75" customHeight="1">
      <c r="A453" s="4" t="s">
        <v>611</v>
      </c>
      <c r="B453" s="5" t="s">
        <v>612</v>
      </c>
      <c r="C453" s="5" t="s">
        <v>661</v>
      </c>
      <c r="D453" s="6">
        <v>45458.0</v>
      </c>
      <c r="E453" s="3"/>
      <c r="F453" s="3">
        <v>17840.0</v>
      </c>
      <c r="G453" s="3">
        <v>0.0</v>
      </c>
      <c r="H453" s="3">
        <v>1605.6</v>
      </c>
      <c r="I453" s="3">
        <v>1605.6</v>
      </c>
      <c r="J453" s="7">
        <f t="shared" si="1"/>
        <v>3211.2</v>
      </c>
      <c r="K453" s="3"/>
      <c r="L453" s="3" t="str">
        <f t="shared" si="2"/>
        <v>27AAWPM0911G1ZL-311/2024-25-15062024</v>
      </c>
      <c r="M453" s="8">
        <f t="shared" si="7"/>
        <v>18</v>
      </c>
      <c r="N453" s="3" t="str">
        <f t="shared" si="4"/>
        <v/>
      </c>
      <c r="O453" s="9" t="str">
        <f t="shared" si="5"/>
        <v/>
      </c>
      <c r="P453" s="3" t="str">
        <f t="shared" si="6"/>
        <v/>
      </c>
      <c r="Q453" s="3"/>
    </row>
    <row r="454" ht="15.75" customHeight="1">
      <c r="A454" s="4" t="s">
        <v>139</v>
      </c>
      <c r="B454" s="5" t="s">
        <v>140</v>
      </c>
      <c r="C454" s="5" t="s">
        <v>662</v>
      </c>
      <c r="D454" s="6">
        <v>45458.0</v>
      </c>
      <c r="E454" s="3"/>
      <c r="F454" s="3">
        <v>1319.0</v>
      </c>
      <c r="G454" s="3">
        <v>0.0</v>
      </c>
      <c r="H454" s="3">
        <v>118.71</v>
      </c>
      <c r="I454" s="3">
        <v>118.71</v>
      </c>
      <c r="J454" s="7">
        <f t="shared" si="1"/>
        <v>237.42</v>
      </c>
      <c r="K454" s="3"/>
      <c r="L454" s="3" t="str">
        <f t="shared" si="2"/>
        <v>27AAAFU1306P1Z2-7101-15062024</v>
      </c>
      <c r="M454" s="8">
        <f t="shared" si="7"/>
        <v>18</v>
      </c>
      <c r="N454" s="3" t="str">
        <f t="shared" si="4"/>
        <v/>
      </c>
      <c r="O454" s="9" t="str">
        <f t="shared" si="5"/>
        <v/>
      </c>
      <c r="P454" s="3" t="str">
        <f t="shared" si="6"/>
        <v/>
      </c>
      <c r="Q454" s="3"/>
    </row>
    <row r="455" ht="15.75" customHeight="1">
      <c r="A455" s="4" t="s">
        <v>94</v>
      </c>
      <c r="B455" s="5" t="s">
        <v>95</v>
      </c>
      <c r="C455" s="5" t="s">
        <v>663</v>
      </c>
      <c r="D455" s="6">
        <v>45458.0</v>
      </c>
      <c r="E455" s="3"/>
      <c r="F455" s="3">
        <v>8457.06</v>
      </c>
      <c r="G455" s="3">
        <v>0.0</v>
      </c>
      <c r="H455" s="3">
        <v>745.48</v>
      </c>
      <c r="I455" s="3">
        <v>745.48</v>
      </c>
      <c r="J455" s="7">
        <f t="shared" si="1"/>
        <v>1490.96</v>
      </c>
      <c r="K455" s="3"/>
      <c r="L455" s="3" t="str">
        <f t="shared" si="2"/>
        <v>27ABSPP9163G1ZY-43-15062024</v>
      </c>
      <c r="M455" s="8">
        <f t="shared" si="7"/>
        <v>17.62976732</v>
      </c>
      <c r="N455" s="3" t="str">
        <f t="shared" si="4"/>
        <v/>
      </c>
      <c r="O455" s="9" t="str">
        <f t="shared" si="5"/>
        <v/>
      </c>
      <c r="P455" s="3" t="str">
        <f t="shared" si="6"/>
        <v/>
      </c>
      <c r="Q455" s="3"/>
    </row>
    <row r="456" ht="15.75" customHeight="1">
      <c r="A456" s="4" t="s">
        <v>56</v>
      </c>
      <c r="B456" s="5" t="s">
        <v>57</v>
      </c>
      <c r="C456" s="5" t="s">
        <v>664</v>
      </c>
      <c r="D456" s="6">
        <v>45458.0</v>
      </c>
      <c r="E456" s="3"/>
      <c r="F456" s="3">
        <v>33600.0</v>
      </c>
      <c r="G456" s="3">
        <v>0.0</v>
      </c>
      <c r="H456" s="3">
        <v>3024.0</v>
      </c>
      <c r="I456" s="3">
        <v>3024.0</v>
      </c>
      <c r="J456" s="7">
        <f t="shared" si="1"/>
        <v>6048</v>
      </c>
      <c r="K456" s="3"/>
      <c r="L456" s="3" t="str">
        <f t="shared" si="2"/>
        <v>27AAACB2900K1ZZ-4320295990-15062024</v>
      </c>
      <c r="M456" s="8">
        <f t="shared" si="7"/>
        <v>18</v>
      </c>
      <c r="N456" s="3" t="str">
        <f t="shared" si="4"/>
        <v/>
      </c>
      <c r="O456" s="9" t="str">
        <f t="shared" si="5"/>
        <v/>
      </c>
      <c r="P456" s="3" t="str">
        <f t="shared" si="6"/>
        <v/>
      </c>
      <c r="Q456" s="3"/>
    </row>
    <row r="457" ht="15.75" customHeight="1">
      <c r="A457" s="4" t="s">
        <v>56</v>
      </c>
      <c r="B457" s="5" t="s">
        <v>57</v>
      </c>
      <c r="C457" s="5" t="s">
        <v>665</v>
      </c>
      <c r="D457" s="6">
        <v>45458.0</v>
      </c>
      <c r="E457" s="3"/>
      <c r="F457" s="3">
        <v>100916.0</v>
      </c>
      <c r="G457" s="3">
        <v>0.0</v>
      </c>
      <c r="H457" s="3">
        <v>9082.0</v>
      </c>
      <c r="I457" s="3">
        <v>9082.0</v>
      </c>
      <c r="J457" s="7">
        <f t="shared" si="1"/>
        <v>18164</v>
      </c>
      <c r="K457" s="3"/>
      <c r="L457" s="3" t="str">
        <f t="shared" si="2"/>
        <v>27AAACB2900K1ZZ-4320296001-15062024</v>
      </c>
      <c r="M457" s="8">
        <f t="shared" si="7"/>
        <v>17.99912799</v>
      </c>
      <c r="N457" s="3" t="str">
        <f t="shared" si="4"/>
        <v/>
      </c>
      <c r="O457" s="9" t="str">
        <f t="shared" si="5"/>
        <v/>
      </c>
      <c r="P457" s="3" t="str">
        <f t="shared" si="6"/>
        <v/>
      </c>
      <c r="Q457" s="3"/>
    </row>
    <row r="458" ht="15.75" customHeight="1">
      <c r="A458" s="4" t="s">
        <v>56</v>
      </c>
      <c r="B458" s="5" t="s">
        <v>57</v>
      </c>
      <c r="C458" s="5" t="s">
        <v>666</v>
      </c>
      <c r="D458" s="6">
        <v>45458.0</v>
      </c>
      <c r="E458" s="3"/>
      <c r="F458" s="3">
        <v>50458.0</v>
      </c>
      <c r="G458" s="3">
        <v>0.0</v>
      </c>
      <c r="H458" s="3">
        <v>4541.0</v>
      </c>
      <c r="I458" s="3">
        <v>4541.0</v>
      </c>
      <c r="J458" s="7">
        <f t="shared" si="1"/>
        <v>9082</v>
      </c>
      <c r="K458" s="3"/>
      <c r="L458" s="3" t="str">
        <f t="shared" si="2"/>
        <v>27AAACB2900K1ZZ-4320296002-15062024</v>
      </c>
      <c r="M458" s="8">
        <f t="shared" si="7"/>
        <v>17.99912799</v>
      </c>
      <c r="N458" s="3" t="str">
        <f t="shared" si="4"/>
        <v/>
      </c>
      <c r="O458" s="9" t="str">
        <f t="shared" si="5"/>
        <v/>
      </c>
      <c r="P458" s="3" t="str">
        <f t="shared" si="6"/>
        <v/>
      </c>
      <c r="Q458" s="3"/>
    </row>
    <row r="459" ht="15.75" customHeight="1">
      <c r="A459" s="4" t="s">
        <v>41</v>
      </c>
      <c r="B459" s="5" t="s">
        <v>42</v>
      </c>
      <c r="C459" s="5" t="s">
        <v>667</v>
      </c>
      <c r="D459" s="6">
        <v>45459.0</v>
      </c>
      <c r="E459" s="3"/>
      <c r="F459" s="3">
        <v>604.5</v>
      </c>
      <c r="G459" s="3">
        <v>0.0</v>
      </c>
      <c r="H459" s="3">
        <v>54.41</v>
      </c>
      <c r="I459" s="3">
        <v>54.41</v>
      </c>
      <c r="J459" s="7">
        <f t="shared" si="1"/>
        <v>108.82</v>
      </c>
      <c r="K459" s="3"/>
      <c r="L459" s="3" t="str">
        <f t="shared" si="2"/>
        <v>27AACCA4768Q1Z0-543-16062024</v>
      </c>
      <c r="M459" s="8">
        <f t="shared" si="7"/>
        <v>18.00165426</v>
      </c>
      <c r="N459" s="3" t="str">
        <f t="shared" si="4"/>
        <v/>
      </c>
      <c r="O459" s="9" t="str">
        <f t="shared" si="5"/>
        <v/>
      </c>
      <c r="P459" s="3" t="str">
        <f t="shared" si="6"/>
        <v/>
      </c>
      <c r="Q459" s="3"/>
    </row>
    <row r="460" ht="15.75" customHeight="1">
      <c r="A460" s="4" t="s">
        <v>594</v>
      </c>
      <c r="B460" s="5" t="s">
        <v>595</v>
      </c>
      <c r="C460" s="5" t="s">
        <v>668</v>
      </c>
      <c r="D460" s="6">
        <v>45460.0</v>
      </c>
      <c r="E460" s="3"/>
      <c r="F460" s="3">
        <v>500.0</v>
      </c>
      <c r="G460" s="3">
        <v>0.0</v>
      </c>
      <c r="H460" s="3">
        <v>45.0</v>
      </c>
      <c r="I460" s="3">
        <v>45.0</v>
      </c>
      <c r="J460" s="7">
        <f t="shared" si="1"/>
        <v>90</v>
      </c>
      <c r="K460" s="3"/>
      <c r="L460" s="3" t="str">
        <f t="shared" si="2"/>
        <v>27AACHJ6853N1ZP-VIT-6828/24-25-17062024</v>
      </c>
      <c r="M460" s="8">
        <f t="shared" si="7"/>
        <v>18</v>
      </c>
      <c r="N460" s="3" t="str">
        <f t="shared" si="4"/>
        <v/>
      </c>
      <c r="O460" s="9" t="str">
        <f t="shared" si="5"/>
        <v/>
      </c>
      <c r="P460" s="3" t="str">
        <f t="shared" si="6"/>
        <v/>
      </c>
      <c r="Q460" s="3"/>
    </row>
    <row r="461" ht="15.75" customHeight="1">
      <c r="A461" s="4" t="s">
        <v>25</v>
      </c>
      <c r="B461" s="5" t="s">
        <v>26</v>
      </c>
      <c r="C461" s="5" t="s">
        <v>669</v>
      </c>
      <c r="D461" s="6">
        <v>45460.0</v>
      </c>
      <c r="E461" s="3"/>
      <c r="F461" s="3">
        <v>12315.0</v>
      </c>
      <c r="G461" s="3">
        <v>0.0</v>
      </c>
      <c r="H461" s="3">
        <v>738.9</v>
      </c>
      <c r="I461" s="3">
        <v>738.9</v>
      </c>
      <c r="J461" s="7">
        <f t="shared" si="1"/>
        <v>1477.8</v>
      </c>
      <c r="K461" s="3"/>
      <c r="L461" s="3" t="str">
        <f t="shared" si="2"/>
        <v>27ADJPV3549B2ZC-276/24-25-17062024</v>
      </c>
      <c r="M461" s="8">
        <f t="shared" si="7"/>
        <v>12</v>
      </c>
      <c r="N461" s="3" t="str">
        <f t="shared" si="4"/>
        <v/>
      </c>
      <c r="O461" s="9" t="str">
        <f t="shared" si="5"/>
        <v/>
      </c>
      <c r="P461" s="3" t="str">
        <f t="shared" si="6"/>
        <v/>
      </c>
      <c r="Q461" s="3"/>
    </row>
    <row r="462" ht="15.75" customHeight="1">
      <c r="A462" s="4" t="s">
        <v>670</v>
      </c>
      <c r="B462" s="5" t="s">
        <v>671</v>
      </c>
      <c r="C462" s="5" t="s">
        <v>672</v>
      </c>
      <c r="D462" s="6">
        <v>45460.0</v>
      </c>
      <c r="E462" s="3"/>
      <c r="F462" s="3">
        <v>6250.0</v>
      </c>
      <c r="G462" s="3">
        <v>0.0</v>
      </c>
      <c r="H462" s="3">
        <v>562.5</v>
      </c>
      <c r="I462" s="3">
        <v>562.5</v>
      </c>
      <c r="J462" s="7">
        <f t="shared" si="1"/>
        <v>1125</v>
      </c>
      <c r="K462" s="3"/>
      <c r="L462" s="3" t="str">
        <f t="shared" si="2"/>
        <v>27AEQPS1948M1ZL-1298-17062024</v>
      </c>
      <c r="M462" s="8">
        <f t="shared" si="7"/>
        <v>18</v>
      </c>
      <c r="N462" s="3" t="str">
        <f t="shared" si="4"/>
        <v/>
      </c>
      <c r="O462" s="9" t="str">
        <f t="shared" si="5"/>
        <v/>
      </c>
      <c r="P462" s="3" t="str">
        <f t="shared" si="6"/>
        <v/>
      </c>
      <c r="Q462" s="3"/>
    </row>
    <row r="463" ht="15.75" customHeight="1">
      <c r="A463" s="4" t="s">
        <v>41</v>
      </c>
      <c r="B463" s="5" t="s">
        <v>42</v>
      </c>
      <c r="C463" s="5" t="s">
        <v>673</v>
      </c>
      <c r="D463" s="6">
        <v>45461.0</v>
      </c>
      <c r="E463" s="3"/>
      <c r="F463" s="3">
        <v>2880.0</v>
      </c>
      <c r="G463" s="3">
        <v>0.0</v>
      </c>
      <c r="H463" s="3">
        <v>259.2</v>
      </c>
      <c r="I463" s="3">
        <v>259.2</v>
      </c>
      <c r="J463" s="7">
        <f t="shared" si="1"/>
        <v>518.4</v>
      </c>
      <c r="K463" s="3"/>
      <c r="L463" s="3" t="str">
        <f t="shared" si="2"/>
        <v>27AACCA4768Q1Z0-562-18062024</v>
      </c>
      <c r="M463" s="8">
        <f t="shared" si="7"/>
        <v>18</v>
      </c>
      <c r="N463" s="3" t="str">
        <f t="shared" si="4"/>
        <v/>
      </c>
      <c r="O463" s="9" t="str">
        <f t="shared" si="5"/>
        <v/>
      </c>
      <c r="P463" s="3" t="str">
        <f t="shared" si="6"/>
        <v/>
      </c>
      <c r="Q463" s="3"/>
    </row>
    <row r="464" ht="15.75" customHeight="1">
      <c r="A464" s="4" t="s">
        <v>41</v>
      </c>
      <c r="B464" s="5" t="s">
        <v>42</v>
      </c>
      <c r="C464" s="5" t="s">
        <v>674</v>
      </c>
      <c r="D464" s="6">
        <v>45461.0</v>
      </c>
      <c r="E464" s="3"/>
      <c r="F464" s="3">
        <v>565.5</v>
      </c>
      <c r="G464" s="3">
        <v>0.0</v>
      </c>
      <c r="H464" s="3">
        <v>50.9</v>
      </c>
      <c r="I464" s="3">
        <v>50.9</v>
      </c>
      <c r="J464" s="7">
        <f t="shared" si="1"/>
        <v>101.8</v>
      </c>
      <c r="K464" s="3"/>
      <c r="L464" s="3" t="str">
        <f t="shared" si="2"/>
        <v>27AACCA4768Q1Z0-567-18062024</v>
      </c>
      <c r="M464" s="8">
        <f t="shared" si="7"/>
        <v>18.00176835</v>
      </c>
      <c r="N464" s="3" t="str">
        <f t="shared" si="4"/>
        <v/>
      </c>
      <c r="O464" s="9" t="str">
        <f t="shared" si="5"/>
        <v/>
      </c>
      <c r="P464" s="3" t="str">
        <f t="shared" si="6"/>
        <v/>
      </c>
      <c r="Q464" s="3"/>
    </row>
    <row r="465" ht="15.75" customHeight="1">
      <c r="A465" s="4" t="s">
        <v>675</v>
      </c>
      <c r="B465" s="5" t="s">
        <v>676</v>
      </c>
      <c r="C465" s="5" t="s">
        <v>677</v>
      </c>
      <c r="D465" s="6">
        <v>45461.0</v>
      </c>
      <c r="E465" s="3"/>
      <c r="F465" s="3">
        <v>81422.37</v>
      </c>
      <c r="G465" s="3">
        <v>0.0</v>
      </c>
      <c r="H465" s="3">
        <v>7328.01</v>
      </c>
      <c r="I465" s="3">
        <v>7328.01</v>
      </c>
      <c r="J465" s="7">
        <f t="shared" si="1"/>
        <v>14656.02</v>
      </c>
      <c r="K465" s="3"/>
      <c r="L465" s="3" t="str">
        <f t="shared" si="2"/>
        <v>27AAACT3910D1ZS-270100018471-18062024</v>
      </c>
      <c r="M465" s="8">
        <f t="shared" si="7"/>
        <v>17.99999189</v>
      </c>
      <c r="N465" s="3" t="str">
        <f t="shared" si="4"/>
        <v/>
      </c>
      <c r="O465" s="9" t="str">
        <f t="shared" si="5"/>
        <v/>
      </c>
      <c r="P465" s="3" t="str">
        <f t="shared" si="6"/>
        <v/>
      </c>
      <c r="Q465" s="3"/>
    </row>
    <row r="466" ht="15.75" customHeight="1">
      <c r="A466" s="4" t="s">
        <v>142</v>
      </c>
      <c r="B466" s="5" t="s">
        <v>143</v>
      </c>
      <c r="C466" s="5" t="s">
        <v>678</v>
      </c>
      <c r="D466" s="6">
        <v>45461.0</v>
      </c>
      <c r="E466" s="3"/>
      <c r="F466" s="3">
        <v>109840.0</v>
      </c>
      <c r="G466" s="3">
        <v>19771.0</v>
      </c>
      <c r="H466" s="3">
        <v>0.0</v>
      </c>
      <c r="I466" s="3">
        <v>0.0</v>
      </c>
      <c r="J466" s="7">
        <f t="shared" si="1"/>
        <v>19771</v>
      </c>
      <c r="K466" s="3"/>
      <c r="L466" s="3" t="str">
        <f t="shared" si="2"/>
        <v>24ALXPP2922N1ZE-286-18062024</v>
      </c>
      <c r="M466" s="8">
        <f t="shared" si="7"/>
        <v>17.99981792</v>
      </c>
      <c r="N466" s="3" t="str">
        <f t="shared" si="4"/>
        <v/>
      </c>
      <c r="O466" s="9" t="str">
        <f t="shared" si="5"/>
        <v/>
      </c>
      <c r="P466" s="3" t="str">
        <f t="shared" si="6"/>
        <v/>
      </c>
      <c r="Q466" s="3"/>
    </row>
    <row r="467" ht="15.75" customHeight="1">
      <c r="A467" s="4" t="s">
        <v>594</v>
      </c>
      <c r="B467" s="5" t="s">
        <v>595</v>
      </c>
      <c r="C467" s="5" t="s">
        <v>679</v>
      </c>
      <c r="D467" s="6">
        <v>45461.0</v>
      </c>
      <c r="E467" s="3"/>
      <c r="F467" s="3">
        <v>130.0</v>
      </c>
      <c r="G467" s="3">
        <v>0.0</v>
      </c>
      <c r="H467" s="3">
        <v>11.7</v>
      </c>
      <c r="I467" s="3">
        <v>11.7</v>
      </c>
      <c r="J467" s="7">
        <f t="shared" si="1"/>
        <v>23.4</v>
      </c>
      <c r="K467" s="3"/>
      <c r="L467" s="3" t="str">
        <f t="shared" si="2"/>
        <v>27AACHJ6853N1ZP-VIT-6975/24-25-18062024</v>
      </c>
      <c r="M467" s="8">
        <f t="shared" si="7"/>
        <v>18</v>
      </c>
      <c r="N467" s="3" t="str">
        <f t="shared" si="4"/>
        <v/>
      </c>
      <c r="O467" s="9" t="str">
        <f t="shared" si="5"/>
        <v/>
      </c>
      <c r="P467" s="3" t="str">
        <f t="shared" si="6"/>
        <v/>
      </c>
      <c r="Q467" s="3"/>
    </row>
    <row r="468" ht="15.75" customHeight="1">
      <c r="A468" s="4" t="s">
        <v>680</v>
      </c>
      <c r="B468" s="5"/>
      <c r="C468" s="5" t="s">
        <v>681</v>
      </c>
      <c r="D468" s="6">
        <v>45461.0</v>
      </c>
      <c r="E468" s="3"/>
      <c r="F468" s="3">
        <v>48000.0</v>
      </c>
      <c r="G468" s="3">
        <v>0.0</v>
      </c>
      <c r="H468" s="3">
        <v>4320.0</v>
      </c>
      <c r="I468" s="3">
        <v>4320.0</v>
      </c>
      <c r="J468" s="7">
        <f t="shared" si="1"/>
        <v>8640</v>
      </c>
      <c r="K468" s="3"/>
      <c r="L468" s="3" t="str">
        <f t="shared" si="2"/>
        <v/>
      </c>
      <c r="M468" s="8">
        <f t="shared" si="7"/>
        <v>18</v>
      </c>
      <c r="N468" s="3" t="str">
        <f t="shared" si="4"/>
        <v>GSTIN not entered</v>
      </c>
      <c r="O468" s="9" t="str">
        <f t="shared" si="5"/>
        <v/>
      </c>
      <c r="P468" s="3" t="str">
        <f t="shared" si="6"/>
        <v/>
      </c>
      <c r="Q468" s="3"/>
    </row>
    <row r="469" ht="15.75" customHeight="1">
      <c r="A469" s="4" t="s">
        <v>346</v>
      </c>
      <c r="B469" s="5" t="s">
        <v>347</v>
      </c>
      <c r="C469" s="5" t="s">
        <v>682</v>
      </c>
      <c r="D469" s="6">
        <v>45462.0</v>
      </c>
      <c r="E469" s="3"/>
      <c r="F469" s="3">
        <v>250.0</v>
      </c>
      <c r="G469" s="3">
        <v>0.0</v>
      </c>
      <c r="H469" s="3">
        <v>22.5</v>
      </c>
      <c r="I469" s="3">
        <v>22.5</v>
      </c>
      <c r="J469" s="7">
        <f t="shared" si="1"/>
        <v>45</v>
      </c>
      <c r="K469" s="3"/>
      <c r="L469" s="3" t="str">
        <f t="shared" si="2"/>
        <v>27AFGPK5440M1Z6-SS/01139/2024-25-19062024</v>
      </c>
      <c r="M469" s="8">
        <f t="shared" si="7"/>
        <v>18</v>
      </c>
      <c r="N469" s="3" t="str">
        <f t="shared" si="4"/>
        <v/>
      </c>
      <c r="O469" s="9" t="str">
        <f t="shared" si="5"/>
        <v/>
      </c>
      <c r="P469" s="3" t="str">
        <f t="shared" si="6"/>
        <v/>
      </c>
      <c r="Q469" s="3"/>
    </row>
    <row r="470" ht="15.75" customHeight="1">
      <c r="A470" s="4" t="s">
        <v>195</v>
      </c>
      <c r="B470" s="5" t="s">
        <v>196</v>
      </c>
      <c r="C470" s="5" t="s">
        <v>683</v>
      </c>
      <c r="D470" s="6">
        <v>45462.0</v>
      </c>
      <c r="E470" s="3"/>
      <c r="F470" s="3">
        <v>350.0</v>
      </c>
      <c r="G470" s="3">
        <v>0.0</v>
      </c>
      <c r="H470" s="3">
        <v>31.5</v>
      </c>
      <c r="I470" s="3">
        <v>31.5</v>
      </c>
      <c r="J470" s="7">
        <f t="shared" si="1"/>
        <v>63</v>
      </c>
      <c r="K470" s="3"/>
      <c r="L470" s="3" t="str">
        <f t="shared" si="2"/>
        <v>27ACIPK1680N1Z6-564/24-25-19062024</v>
      </c>
      <c r="M470" s="8">
        <f t="shared" si="7"/>
        <v>18</v>
      </c>
      <c r="N470" s="3" t="str">
        <f t="shared" si="4"/>
        <v/>
      </c>
      <c r="O470" s="9" t="str">
        <f t="shared" si="5"/>
        <v/>
      </c>
      <c r="P470" s="3" t="str">
        <f t="shared" si="6"/>
        <v/>
      </c>
      <c r="Q470" s="3"/>
    </row>
    <row r="471" ht="15.75" customHeight="1">
      <c r="A471" s="4" t="s">
        <v>684</v>
      </c>
      <c r="B471" s="5" t="s">
        <v>685</v>
      </c>
      <c r="C471" s="5" t="s">
        <v>686</v>
      </c>
      <c r="D471" s="6">
        <v>45462.0</v>
      </c>
      <c r="E471" s="3"/>
      <c r="F471" s="3">
        <v>593.4</v>
      </c>
      <c r="G471" s="3">
        <v>0.0</v>
      </c>
      <c r="H471" s="3">
        <v>53.41</v>
      </c>
      <c r="I471" s="3">
        <v>53.41</v>
      </c>
      <c r="J471" s="7">
        <f t="shared" si="1"/>
        <v>106.82</v>
      </c>
      <c r="K471" s="3"/>
      <c r="L471" s="3" t="str">
        <f t="shared" si="2"/>
        <v>27ESDPK7454P1ZY-107-19062024</v>
      </c>
      <c r="M471" s="8">
        <f t="shared" si="7"/>
        <v>18.00134816</v>
      </c>
      <c r="N471" s="3" t="str">
        <f t="shared" si="4"/>
        <v/>
      </c>
      <c r="O471" s="9" t="str">
        <f t="shared" si="5"/>
        <v/>
      </c>
      <c r="P471" s="3" t="str">
        <f t="shared" si="6"/>
        <v/>
      </c>
      <c r="Q471" s="3"/>
    </row>
    <row r="472" ht="15.75" customHeight="1">
      <c r="A472" s="4" t="s">
        <v>38</v>
      </c>
      <c r="B472" s="5" t="s">
        <v>39</v>
      </c>
      <c r="C472" s="5" t="s">
        <v>687</v>
      </c>
      <c r="D472" s="6">
        <v>45462.0</v>
      </c>
      <c r="E472" s="3"/>
      <c r="F472" s="3">
        <v>2380.0</v>
      </c>
      <c r="G472" s="3">
        <v>0.0</v>
      </c>
      <c r="H472" s="3">
        <v>142.8</v>
      </c>
      <c r="I472" s="3">
        <v>142.8</v>
      </c>
      <c r="J472" s="7">
        <f t="shared" si="1"/>
        <v>285.6</v>
      </c>
      <c r="K472" s="3"/>
      <c r="L472" s="3" t="str">
        <f t="shared" si="2"/>
        <v>27AOVPP9192F2Z0-311-19062024</v>
      </c>
      <c r="M472" s="8">
        <f t="shared" si="7"/>
        <v>12</v>
      </c>
      <c r="N472" s="3" t="str">
        <f t="shared" si="4"/>
        <v/>
      </c>
      <c r="O472" s="9" t="str">
        <f t="shared" si="5"/>
        <v/>
      </c>
      <c r="P472" s="3" t="str">
        <f t="shared" si="6"/>
        <v/>
      </c>
      <c r="Q472" s="3"/>
    </row>
    <row r="473" ht="15.75" customHeight="1">
      <c r="A473" s="4" t="s">
        <v>69</v>
      </c>
      <c r="B473" s="5" t="s">
        <v>70</v>
      </c>
      <c r="C473" s="5" t="s">
        <v>688</v>
      </c>
      <c r="D473" s="6">
        <v>45463.0</v>
      </c>
      <c r="E473" s="3"/>
      <c r="F473" s="3">
        <v>18099.0</v>
      </c>
      <c r="G473" s="3">
        <v>0.0</v>
      </c>
      <c r="H473" s="3">
        <v>1628.91</v>
      </c>
      <c r="I473" s="3">
        <v>1628.91</v>
      </c>
      <c r="J473" s="7">
        <f t="shared" si="1"/>
        <v>3257.82</v>
      </c>
      <c r="K473" s="3"/>
      <c r="L473" s="3" t="str">
        <f t="shared" si="2"/>
        <v>27AAEFR8996A1ZU-1386/24-25-20062024</v>
      </c>
      <c r="M473" s="8">
        <f t="shared" si="7"/>
        <v>18</v>
      </c>
      <c r="N473" s="3" t="str">
        <f t="shared" si="4"/>
        <v/>
      </c>
      <c r="O473" s="9" t="str">
        <f t="shared" si="5"/>
        <v/>
      </c>
      <c r="P473" s="3" t="str">
        <f t="shared" si="6"/>
        <v/>
      </c>
      <c r="Q473" s="3"/>
    </row>
    <row r="474" ht="15.75" customHeight="1">
      <c r="A474" s="4" t="s">
        <v>41</v>
      </c>
      <c r="B474" s="5" t="s">
        <v>42</v>
      </c>
      <c r="C474" s="5" t="s">
        <v>689</v>
      </c>
      <c r="D474" s="6">
        <v>45463.0</v>
      </c>
      <c r="E474" s="3"/>
      <c r="F474" s="3">
        <v>799.5</v>
      </c>
      <c r="G474" s="3">
        <v>0.0</v>
      </c>
      <c r="H474" s="3">
        <v>71.96</v>
      </c>
      <c r="I474" s="3">
        <v>71.96</v>
      </c>
      <c r="J474" s="7">
        <f t="shared" si="1"/>
        <v>143.92</v>
      </c>
      <c r="K474" s="3"/>
      <c r="L474" s="3" t="str">
        <f t="shared" si="2"/>
        <v>27AACCA4768Q1Z0-581-20062024</v>
      </c>
      <c r="M474" s="8">
        <f t="shared" si="7"/>
        <v>18.00125078</v>
      </c>
      <c r="N474" s="3" t="str">
        <f t="shared" si="4"/>
        <v/>
      </c>
      <c r="O474" s="9" t="str">
        <f t="shared" si="5"/>
        <v/>
      </c>
      <c r="P474" s="3" t="str">
        <f t="shared" si="6"/>
        <v/>
      </c>
      <c r="Q474" s="3"/>
    </row>
    <row r="475" ht="15.75" customHeight="1">
      <c r="A475" s="4" t="s">
        <v>151</v>
      </c>
      <c r="B475" s="5" t="s">
        <v>152</v>
      </c>
      <c r="C475" s="5" t="s">
        <v>690</v>
      </c>
      <c r="D475" s="6">
        <v>45463.0</v>
      </c>
      <c r="E475" s="3"/>
      <c r="F475" s="3">
        <v>11114.4</v>
      </c>
      <c r="G475" s="3">
        <v>0.0</v>
      </c>
      <c r="H475" s="3">
        <v>1000.3</v>
      </c>
      <c r="I475" s="3">
        <v>1000.3</v>
      </c>
      <c r="J475" s="7">
        <f t="shared" si="1"/>
        <v>2000.6</v>
      </c>
      <c r="K475" s="3"/>
      <c r="L475" s="3" t="str">
        <f t="shared" si="2"/>
        <v>27AACCS3927P1ZT-U1/24-25/1493-20062024</v>
      </c>
      <c r="M475" s="8">
        <f t="shared" si="7"/>
        <v>18.00007198</v>
      </c>
      <c r="N475" s="3" t="str">
        <f t="shared" si="4"/>
        <v/>
      </c>
      <c r="O475" s="9" t="str">
        <f t="shared" si="5"/>
        <v/>
      </c>
      <c r="P475" s="3" t="str">
        <f t="shared" si="6"/>
        <v/>
      </c>
      <c r="Q475" s="3"/>
    </row>
    <row r="476" ht="15.75" customHeight="1">
      <c r="A476" s="4" t="s">
        <v>56</v>
      </c>
      <c r="B476" s="5" t="s">
        <v>57</v>
      </c>
      <c r="C476" s="5" t="s">
        <v>691</v>
      </c>
      <c r="D476" s="6">
        <v>45463.0</v>
      </c>
      <c r="E476" s="3"/>
      <c r="F476" s="3">
        <v>33600.0</v>
      </c>
      <c r="G476" s="3">
        <v>0.0</v>
      </c>
      <c r="H476" s="3">
        <v>3024.0</v>
      </c>
      <c r="I476" s="3">
        <v>3024.0</v>
      </c>
      <c r="J476" s="7">
        <f t="shared" si="1"/>
        <v>6048</v>
      </c>
      <c r="K476" s="3"/>
      <c r="L476" s="3" t="str">
        <f t="shared" si="2"/>
        <v>27AAACB2900K1ZZ-4320296430-20062024</v>
      </c>
      <c r="M476" s="8">
        <f t="shared" si="7"/>
        <v>18</v>
      </c>
      <c r="N476" s="3" t="str">
        <f t="shared" si="4"/>
        <v/>
      </c>
      <c r="O476" s="9" t="str">
        <f t="shared" si="5"/>
        <v/>
      </c>
      <c r="P476" s="3" t="str">
        <f t="shared" si="6"/>
        <v/>
      </c>
      <c r="Q476" s="3"/>
    </row>
    <row r="477" ht="15.75" customHeight="1">
      <c r="A477" s="4" t="s">
        <v>56</v>
      </c>
      <c r="B477" s="5" t="s">
        <v>57</v>
      </c>
      <c r="C477" s="5" t="s">
        <v>692</v>
      </c>
      <c r="D477" s="6">
        <v>45463.0</v>
      </c>
      <c r="E477" s="3"/>
      <c r="F477" s="3">
        <v>226530.0</v>
      </c>
      <c r="G477" s="3">
        <v>0.0</v>
      </c>
      <c r="H477" s="3">
        <v>20388.0</v>
      </c>
      <c r="I477" s="3">
        <v>20388.0</v>
      </c>
      <c r="J477" s="7">
        <f t="shared" si="1"/>
        <v>40776</v>
      </c>
      <c r="K477" s="3"/>
      <c r="L477" s="3" t="str">
        <f t="shared" si="2"/>
        <v>27AAACB2900K1ZZ-4320296432-20062024</v>
      </c>
      <c r="M477" s="8">
        <f t="shared" si="7"/>
        <v>18.00026487</v>
      </c>
      <c r="N477" s="3" t="str">
        <f t="shared" si="4"/>
        <v/>
      </c>
      <c r="O477" s="9" t="str">
        <f t="shared" si="5"/>
        <v/>
      </c>
      <c r="P477" s="3" t="str">
        <f t="shared" si="6"/>
        <v/>
      </c>
      <c r="Q477" s="3"/>
    </row>
    <row r="478" ht="15.75" customHeight="1">
      <c r="A478" s="4" t="s">
        <v>56</v>
      </c>
      <c r="B478" s="5" t="s">
        <v>57</v>
      </c>
      <c r="C478" s="5" t="s">
        <v>693</v>
      </c>
      <c r="D478" s="6">
        <v>45463.0</v>
      </c>
      <c r="E478" s="3"/>
      <c r="F478" s="3">
        <v>136806.0</v>
      </c>
      <c r="G478" s="3">
        <v>0.0</v>
      </c>
      <c r="H478" s="3">
        <v>12313.0</v>
      </c>
      <c r="I478" s="3">
        <v>12313.0</v>
      </c>
      <c r="J478" s="7">
        <f t="shared" si="1"/>
        <v>24626</v>
      </c>
      <c r="K478" s="3"/>
      <c r="L478" s="3" t="str">
        <f t="shared" si="2"/>
        <v>27AAACB2900K1ZZ-4320296440-20062024</v>
      </c>
      <c r="M478" s="8">
        <f t="shared" si="7"/>
        <v>18.00067249</v>
      </c>
      <c r="N478" s="3" t="str">
        <f t="shared" si="4"/>
        <v/>
      </c>
      <c r="O478" s="9" t="str">
        <f t="shared" si="5"/>
        <v/>
      </c>
      <c r="P478" s="3" t="str">
        <f t="shared" si="6"/>
        <v/>
      </c>
      <c r="Q478" s="3"/>
    </row>
    <row r="479" ht="15.75" customHeight="1">
      <c r="A479" s="4" t="s">
        <v>56</v>
      </c>
      <c r="B479" s="5" t="s">
        <v>57</v>
      </c>
      <c r="C479" s="5" t="s">
        <v>694</v>
      </c>
      <c r="D479" s="6">
        <v>45463.0</v>
      </c>
      <c r="E479" s="3"/>
      <c r="F479" s="3">
        <v>34728.0</v>
      </c>
      <c r="G479" s="3">
        <v>0.0</v>
      </c>
      <c r="H479" s="3">
        <v>3126.0</v>
      </c>
      <c r="I479" s="3">
        <v>3126.0</v>
      </c>
      <c r="J479" s="7">
        <f t="shared" si="1"/>
        <v>6252</v>
      </c>
      <c r="K479" s="3"/>
      <c r="L479" s="3" t="str">
        <f t="shared" si="2"/>
        <v>27AAACB2900K1ZZ-4320296435-20062024</v>
      </c>
      <c r="M479" s="8">
        <f t="shared" si="7"/>
        <v>18.00276434</v>
      </c>
      <c r="N479" s="3" t="str">
        <f t="shared" si="4"/>
        <v/>
      </c>
      <c r="O479" s="9" t="str">
        <f t="shared" si="5"/>
        <v/>
      </c>
      <c r="P479" s="3" t="str">
        <f t="shared" si="6"/>
        <v/>
      </c>
      <c r="Q479" s="3"/>
    </row>
    <row r="480" ht="15.75" customHeight="1">
      <c r="A480" s="4" t="s">
        <v>56</v>
      </c>
      <c r="B480" s="5" t="s">
        <v>57</v>
      </c>
      <c r="C480" s="5" t="s">
        <v>695</v>
      </c>
      <c r="D480" s="6">
        <v>45463.0</v>
      </c>
      <c r="E480" s="3"/>
      <c r="F480" s="3">
        <v>105108.0</v>
      </c>
      <c r="G480" s="3">
        <v>0.0</v>
      </c>
      <c r="H480" s="3">
        <v>9460.0</v>
      </c>
      <c r="I480" s="3">
        <v>9460.0</v>
      </c>
      <c r="J480" s="7">
        <f t="shared" si="1"/>
        <v>18920</v>
      </c>
      <c r="K480" s="3"/>
      <c r="L480" s="3" t="str">
        <f t="shared" si="2"/>
        <v>27AAACB2900K1ZZ-4320296438-20062024</v>
      </c>
      <c r="M480" s="8">
        <f t="shared" si="7"/>
        <v>18.00053279</v>
      </c>
      <c r="N480" s="3" t="str">
        <f t="shared" si="4"/>
        <v/>
      </c>
      <c r="O480" s="9" t="str">
        <f t="shared" si="5"/>
        <v/>
      </c>
      <c r="P480" s="3" t="str">
        <f t="shared" si="6"/>
        <v/>
      </c>
      <c r="Q480" s="3"/>
    </row>
    <row r="481" ht="15.75" customHeight="1">
      <c r="A481" s="4" t="s">
        <v>56</v>
      </c>
      <c r="B481" s="5" t="s">
        <v>57</v>
      </c>
      <c r="C481" s="5" t="s">
        <v>696</v>
      </c>
      <c r="D481" s="6">
        <v>45463.0</v>
      </c>
      <c r="E481" s="3"/>
      <c r="F481" s="3">
        <v>150660.0</v>
      </c>
      <c r="G481" s="3">
        <v>0.0</v>
      </c>
      <c r="H481" s="3">
        <v>13559.0</v>
      </c>
      <c r="I481" s="3">
        <v>13559.0</v>
      </c>
      <c r="J481" s="7">
        <f t="shared" si="1"/>
        <v>27118</v>
      </c>
      <c r="K481" s="3"/>
      <c r="L481" s="3" t="str">
        <f t="shared" si="2"/>
        <v>27AAACB2900K1ZZ-4320296439-20062024</v>
      </c>
      <c r="M481" s="8">
        <f t="shared" si="7"/>
        <v>17.999469</v>
      </c>
      <c r="N481" s="3" t="str">
        <f t="shared" si="4"/>
        <v/>
      </c>
      <c r="O481" s="9" t="str">
        <f t="shared" si="5"/>
        <v/>
      </c>
      <c r="P481" s="3" t="str">
        <f t="shared" si="6"/>
        <v/>
      </c>
      <c r="Q481" s="3"/>
    </row>
    <row r="482" ht="15.75" customHeight="1">
      <c r="A482" s="4" t="s">
        <v>108</v>
      </c>
      <c r="B482" s="5" t="s">
        <v>109</v>
      </c>
      <c r="C482" s="5" t="s">
        <v>697</v>
      </c>
      <c r="D482" s="6">
        <v>45464.0</v>
      </c>
      <c r="E482" s="3"/>
      <c r="F482" s="3">
        <v>101.84</v>
      </c>
      <c r="G482" s="3">
        <v>0.0</v>
      </c>
      <c r="H482" s="3">
        <v>9.17</v>
      </c>
      <c r="I482" s="3">
        <v>9.17</v>
      </c>
      <c r="J482" s="7">
        <f t="shared" si="1"/>
        <v>18.34</v>
      </c>
      <c r="K482" s="3"/>
      <c r="L482" s="3" t="str">
        <f t="shared" si="2"/>
        <v>27AAFFM4787K1ZO-B1766/24-25-21062024</v>
      </c>
      <c r="M482" s="8">
        <f t="shared" si="7"/>
        <v>18.00864101</v>
      </c>
      <c r="N482" s="3" t="str">
        <f t="shared" si="4"/>
        <v/>
      </c>
      <c r="O482" s="9" t="str">
        <f t="shared" si="5"/>
        <v/>
      </c>
      <c r="P482" s="3" t="str">
        <f t="shared" si="6"/>
        <v/>
      </c>
      <c r="Q482" s="3"/>
    </row>
    <row r="483" ht="15.75" customHeight="1">
      <c r="A483" s="4" t="s">
        <v>47</v>
      </c>
      <c r="B483" s="5" t="s">
        <v>48</v>
      </c>
      <c r="C483" s="5" t="s">
        <v>698</v>
      </c>
      <c r="D483" s="6">
        <v>45464.0</v>
      </c>
      <c r="E483" s="3"/>
      <c r="F483" s="3">
        <v>44419.5</v>
      </c>
      <c r="G483" s="3">
        <v>0.0</v>
      </c>
      <c r="H483" s="3">
        <v>3997.76</v>
      </c>
      <c r="I483" s="3">
        <v>3997.76</v>
      </c>
      <c r="J483" s="7">
        <f t="shared" si="1"/>
        <v>7995.52</v>
      </c>
      <c r="K483" s="3"/>
      <c r="L483" s="3" t="str">
        <f t="shared" si="2"/>
        <v>27AAAFM2359N1ZZ-7930-21062024</v>
      </c>
      <c r="M483" s="8">
        <f t="shared" si="7"/>
        <v>18.00002251</v>
      </c>
      <c r="N483" s="3" t="str">
        <f t="shared" si="4"/>
        <v/>
      </c>
      <c r="O483" s="9" t="str">
        <f t="shared" si="5"/>
        <v/>
      </c>
      <c r="P483" s="3" t="str">
        <f t="shared" si="6"/>
        <v/>
      </c>
      <c r="Q483" s="3"/>
    </row>
    <row r="484" ht="15.75" customHeight="1">
      <c r="A484" s="4" t="s">
        <v>562</v>
      </c>
      <c r="B484" s="5" t="s">
        <v>563</v>
      </c>
      <c r="C484" s="5" t="s">
        <v>699</v>
      </c>
      <c r="D484" s="6">
        <v>45464.0</v>
      </c>
      <c r="E484" s="3"/>
      <c r="F484" s="3">
        <v>1770.0</v>
      </c>
      <c r="G484" s="3">
        <v>0.0</v>
      </c>
      <c r="H484" s="3">
        <v>159.3</v>
      </c>
      <c r="I484" s="3">
        <v>159.3</v>
      </c>
      <c r="J484" s="7">
        <f t="shared" si="1"/>
        <v>318.6</v>
      </c>
      <c r="K484" s="3"/>
      <c r="L484" s="3" t="str">
        <f t="shared" si="2"/>
        <v>27EVIPP5570F1Z6-2460-21062024</v>
      </c>
      <c r="M484" s="8">
        <f t="shared" si="7"/>
        <v>18</v>
      </c>
      <c r="N484" s="3" t="str">
        <f t="shared" si="4"/>
        <v/>
      </c>
      <c r="O484" s="9" t="str">
        <f t="shared" si="5"/>
        <v/>
      </c>
      <c r="P484" s="3" t="str">
        <f t="shared" si="6"/>
        <v/>
      </c>
      <c r="Q484" s="3"/>
    </row>
    <row r="485" ht="15.75" customHeight="1">
      <c r="A485" s="4" t="s">
        <v>139</v>
      </c>
      <c r="B485" s="5" t="s">
        <v>140</v>
      </c>
      <c r="C485" s="5" t="s">
        <v>700</v>
      </c>
      <c r="D485" s="6">
        <v>45464.0</v>
      </c>
      <c r="E485" s="3"/>
      <c r="F485" s="3">
        <v>1100.0</v>
      </c>
      <c r="G485" s="3">
        <v>0.0</v>
      </c>
      <c r="H485" s="3">
        <v>99.0</v>
      </c>
      <c r="I485" s="3">
        <v>99.0</v>
      </c>
      <c r="J485" s="7">
        <f t="shared" si="1"/>
        <v>198</v>
      </c>
      <c r="K485" s="3"/>
      <c r="L485" s="3" t="str">
        <f t="shared" si="2"/>
        <v>27AAAFU1306P1Z2-7112-21062024</v>
      </c>
      <c r="M485" s="8">
        <f t="shared" si="7"/>
        <v>18</v>
      </c>
      <c r="N485" s="3" t="str">
        <f t="shared" si="4"/>
        <v/>
      </c>
      <c r="O485" s="9" t="str">
        <f t="shared" si="5"/>
        <v/>
      </c>
      <c r="P485" s="3" t="str">
        <f t="shared" si="6"/>
        <v/>
      </c>
      <c r="Q485" s="3"/>
    </row>
    <row r="486" ht="15.75" customHeight="1">
      <c r="A486" s="4" t="s">
        <v>459</v>
      </c>
      <c r="B486" s="5" t="s">
        <v>460</v>
      </c>
      <c r="C486" s="5" t="s">
        <v>701</v>
      </c>
      <c r="D486" s="6">
        <v>45464.0</v>
      </c>
      <c r="E486" s="3"/>
      <c r="F486" s="3">
        <v>1178.84</v>
      </c>
      <c r="G486" s="3">
        <v>0.0</v>
      </c>
      <c r="H486" s="3">
        <v>106.09</v>
      </c>
      <c r="I486" s="3">
        <v>106.09</v>
      </c>
      <c r="J486" s="7">
        <f t="shared" si="1"/>
        <v>212.18</v>
      </c>
      <c r="K486" s="3"/>
      <c r="L486" s="3" t="str">
        <f t="shared" si="2"/>
        <v>27AHHPD3176G1ZG-24/25-1758-21062024</v>
      </c>
      <c r="M486" s="8">
        <f t="shared" si="7"/>
        <v>17.99904991</v>
      </c>
      <c r="N486" s="3" t="str">
        <f t="shared" si="4"/>
        <v/>
      </c>
      <c r="O486" s="9" t="str">
        <f t="shared" si="5"/>
        <v/>
      </c>
      <c r="P486" s="3" t="str">
        <f t="shared" si="6"/>
        <v/>
      </c>
      <c r="Q486" s="3"/>
    </row>
    <row r="487" ht="15.75" customHeight="1">
      <c r="A487" s="4" t="s">
        <v>169</v>
      </c>
      <c r="B487" s="5" t="s">
        <v>170</v>
      </c>
      <c r="C487" s="5" t="s">
        <v>702</v>
      </c>
      <c r="D487" s="6">
        <v>45464.0</v>
      </c>
      <c r="E487" s="3"/>
      <c r="F487" s="3">
        <v>8494.0</v>
      </c>
      <c r="G487" s="3">
        <v>0.0</v>
      </c>
      <c r="H487" s="3">
        <v>764.46</v>
      </c>
      <c r="I487" s="3">
        <v>764.46</v>
      </c>
      <c r="J487" s="7">
        <f t="shared" si="1"/>
        <v>1528.92</v>
      </c>
      <c r="K487" s="3"/>
      <c r="L487" s="3" t="str">
        <f t="shared" si="2"/>
        <v>27ADJPR1065Q1ZV-SMI/500/24-25-21062024</v>
      </c>
      <c r="M487" s="8">
        <f t="shared" si="7"/>
        <v>18</v>
      </c>
      <c r="N487" s="3" t="str">
        <f t="shared" si="4"/>
        <v/>
      </c>
      <c r="O487" s="9" t="str">
        <f t="shared" si="5"/>
        <v/>
      </c>
      <c r="P487" s="3" t="str">
        <f t="shared" si="6"/>
        <v/>
      </c>
      <c r="Q487" s="3"/>
    </row>
    <row r="488" ht="15.75" customHeight="1">
      <c r="A488" s="4" t="s">
        <v>66</v>
      </c>
      <c r="B488" s="5" t="s">
        <v>67</v>
      </c>
      <c r="C488" s="5" t="s">
        <v>703</v>
      </c>
      <c r="D488" s="6">
        <v>45464.0</v>
      </c>
      <c r="E488" s="3"/>
      <c r="F488" s="3">
        <v>777.4</v>
      </c>
      <c r="G488" s="3">
        <v>0.0</v>
      </c>
      <c r="H488" s="3">
        <v>69.96</v>
      </c>
      <c r="I488" s="3">
        <v>69.96</v>
      </c>
      <c r="J488" s="7">
        <f t="shared" si="1"/>
        <v>139.92</v>
      </c>
      <c r="K488" s="3"/>
      <c r="L488" s="3" t="str">
        <f t="shared" si="2"/>
        <v>27AABFM0352J1ZH-125/24-25-21062024</v>
      </c>
      <c r="M488" s="8">
        <f t="shared" si="7"/>
        <v>17.99845639</v>
      </c>
      <c r="N488" s="3" t="str">
        <f t="shared" si="4"/>
        <v/>
      </c>
      <c r="O488" s="9" t="str">
        <f t="shared" si="5"/>
        <v/>
      </c>
      <c r="P488" s="3" t="str">
        <f t="shared" si="6"/>
        <v/>
      </c>
      <c r="Q488" s="3"/>
    </row>
    <row r="489" ht="15.75" customHeight="1">
      <c r="A489" s="4" t="s">
        <v>165</v>
      </c>
      <c r="B489" s="5" t="s">
        <v>166</v>
      </c>
      <c r="C489" s="5" t="s">
        <v>704</v>
      </c>
      <c r="D489" s="6">
        <v>45464.0</v>
      </c>
      <c r="E489" s="3"/>
      <c r="F489" s="3">
        <v>1740.0</v>
      </c>
      <c r="G489" s="3">
        <v>0.0</v>
      </c>
      <c r="H489" s="3">
        <v>104.4</v>
      </c>
      <c r="I489" s="3">
        <v>104.4</v>
      </c>
      <c r="J489" s="7">
        <f t="shared" si="1"/>
        <v>208.8</v>
      </c>
      <c r="K489" s="3"/>
      <c r="L489" s="3" t="str">
        <f t="shared" si="2"/>
        <v>27AAPPH6742M2Z2-ME/1279/2024-25-21062024</v>
      </c>
      <c r="M489" s="8">
        <f t="shared" si="7"/>
        <v>12</v>
      </c>
      <c r="N489" s="3" t="str">
        <f t="shared" si="4"/>
        <v/>
      </c>
      <c r="O489" s="9" t="str">
        <f t="shared" si="5"/>
        <v/>
      </c>
      <c r="P489" s="3" t="str">
        <f t="shared" si="6"/>
        <v/>
      </c>
      <c r="Q489" s="3"/>
    </row>
    <row r="490" ht="15.75" customHeight="1">
      <c r="A490" s="4" t="s">
        <v>388</v>
      </c>
      <c r="B490" s="5" t="s">
        <v>389</v>
      </c>
      <c r="C490" s="5" t="s">
        <v>705</v>
      </c>
      <c r="D490" s="6">
        <v>45465.0</v>
      </c>
      <c r="E490" s="3"/>
      <c r="F490" s="3">
        <v>417865.0</v>
      </c>
      <c r="G490" s="3">
        <v>0.0</v>
      </c>
      <c r="H490" s="3">
        <v>37607.85</v>
      </c>
      <c r="I490" s="3">
        <v>37607.85</v>
      </c>
      <c r="J490" s="7">
        <f t="shared" si="1"/>
        <v>75215.7</v>
      </c>
      <c r="K490" s="3"/>
      <c r="L490" s="3" t="str">
        <f t="shared" si="2"/>
        <v>27AAKFS9902P1ZC-SALES/2425/0932-22062024</v>
      </c>
      <c r="M490" s="8">
        <f t="shared" si="7"/>
        <v>18</v>
      </c>
      <c r="N490" s="3" t="str">
        <f t="shared" si="4"/>
        <v/>
      </c>
      <c r="O490" s="9" t="str">
        <f t="shared" si="5"/>
        <v/>
      </c>
      <c r="P490" s="3" t="str">
        <f t="shared" si="6"/>
        <v/>
      </c>
      <c r="Q490" s="3"/>
    </row>
    <row r="491" ht="15.75" customHeight="1">
      <c r="A491" s="4" t="s">
        <v>69</v>
      </c>
      <c r="B491" s="5" t="s">
        <v>70</v>
      </c>
      <c r="C491" s="5" t="s">
        <v>706</v>
      </c>
      <c r="D491" s="6">
        <v>45465.0</v>
      </c>
      <c r="E491" s="3"/>
      <c r="F491" s="3">
        <v>29869.2</v>
      </c>
      <c r="G491" s="3">
        <v>0.0</v>
      </c>
      <c r="H491" s="3">
        <v>2688.23</v>
      </c>
      <c r="I491" s="3">
        <v>2688.23</v>
      </c>
      <c r="J491" s="7">
        <f t="shared" si="1"/>
        <v>5376.46</v>
      </c>
      <c r="K491" s="3"/>
      <c r="L491" s="3" t="str">
        <f t="shared" si="2"/>
        <v>27AAEFR8996A1ZU-1431/24-25-22062024</v>
      </c>
      <c r="M491" s="8">
        <f t="shared" si="7"/>
        <v>18.00001339</v>
      </c>
      <c r="N491" s="3" t="str">
        <f t="shared" si="4"/>
        <v/>
      </c>
      <c r="O491" s="9" t="str">
        <f t="shared" si="5"/>
        <v/>
      </c>
      <c r="P491" s="3" t="str">
        <f t="shared" si="6"/>
        <v/>
      </c>
      <c r="Q491" s="3"/>
    </row>
    <row r="492" ht="15.75" customHeight="1">
      <c r="A492" s="4" t="s">
        <v>38</v>
      </c>
      <c r="B492" s="5" t="s">
        <v>39</v>
      </c>
      <c r="C492" s="5" t="s">
        <v>707</v>
      </c>
      <c r="D492" s="6">
        <v>45465.0</v>
      </c>
      <c r="E492" s="3"/>
      <c r="F492" s="3">
        <v>12350.0</v>
      </c>
      <c r="G492" s="3">
        <v>0.0</v>
      </c>
      <c r="H492" s="3">
        <v>741.0</v>
      </c>
      <c r="I492" s="3">
        <v>741.0</v>
      </c>
      <c r="J492" s="7">
        <f t="shared" si="1"/>
        <v>1482</v>
      </c>
      <c r="K492" s="3"/>
      <c r="L492" s="3" t="str">
        <f t="shared" si="2"/>
        <v>27AOVPP9192F2Z0-313-22062024</v>
      </c>
      <c r="M492" s="8">
        <f t="shared" si="7"/>
        <v>12</v>
      </c>
      <c r="N492" s="3" t="str">
        <f t="shared" si="4"/>
        <v/>
      </c>
      <c r="O492" s="9" t="str">
        <f t="shared" si="5"/>
        <v/>
      </c>
      <c r="P492" s="3" t="str">
        <f t="shared" si="6"/>
        <v/>
      </c>
      <c r="Q492" s="3"/>
    </row>
    <row r="493" ht="15.75" customHeight="1">
      <c r="A493" s="4" t="s">
        <v>56</v>
      </c>
      <c r="B493" s="5" t="s">
        <v>57</v>
      </c>
      <c r="C493" s="5" t="s">
        <v>708</v>
      </c>
      <c r="D493" s="6">
        <v>45465.0</v>
      </c>
      <c r="E493" s="3"/>
      <c r="F493" s="3">
        <v>117600.0</v>
      </c>
      <c r="G493" s="3">
        <v>0.0</v>
      </c>
      <c r="H493" s="3">
        <v>10584.0</v>
      </c>
      <c r="I493" s="3">
        <v>10584.0</v>
      </c>
      <c r="J493" s="7">
        <f t="shared" si="1"/>
        <v>21168</v>
      </c>
      <c r="K493" s="3"/>
      <c r="L493" s="3" t="str">
        <f t="shared" si="2"/>
        <v>27AAACB2900K1ZZ-4320296584-22062024</v>
      </c>
      <c r="M493" s="8">
        <f t="shared" si="7"/>
        <v>18</v>
      </c>
      <c r="N493" s="3" t="str">
        <f t="shared" si="4"/>
        <v/>
      </c>
      <c r="O493" s="9" t="str">
        <f t="shared" si="5"/>
        <v/>
      </c>
      <c r="P493" s="3" t="str">
        <f t="shared" si="6"/>
        <v/>
      </c>
      <c r="Q493" s="3"/>
    </row>
    <row r="494" ht="15.75" customHeight="1">
      <c r="A494" s="4" t="s">
        <v>56</v>
      </c>
      <c r="B494" s="5" t="s">
        <v>57</v>
      </c>
      <c r="C494" s="5" t="s">
        <v>709</v>
      </c>
      <c r="D494" s="6">
        <v>45465.0</v>
      </c>
      <c r="E494" s="3"/>
      <c r="F494" s="3">
        <v>170770.0</v>
      </c>
      <c r="G494" s="3">
        <v>0.0</v>
      </c>
      <c r="H494" s="3">
        <v>15369.0</v>
      </c>
      <c r="I494" s="3">
        <v>15369.0</v>
      </c>
      <c r="J494" s="7">
        <f t="shared" si="1"/>
        <v>30738</v>
      </c>
      <c r="K494" s="3"/>
      <c r="L494" s="3" t="str">
        <f t="shared" si="2"/>
        <v>27AAACB2900K1ZZ-4320296590-22062024</v>
      </c>
      <c r="M494" s="8">
        <f t="shared" si="7"/>
        <v>17.99964865</v>
      </c>
      <c r="N494" s="3" t="str">
        <f t="shared" si="4"/>
        <v/>
      </c>
      <c r="O494" s="9" t="str">
        <f t="shared" si="5"/>
        <v/>
      </c>
      <c r="P494" s="3" t="str">
        <f t="shared" si="6"/>
        <v/>
      </c>
      <c r="Q494" s="3"/>
    </row>
    <row r="495" ht="15.75" customHeight="1">
      <c r="A495" s="4" t="s">
        <v>56</v>
      </c>
      <c r="B495" s="5" t="s">
        <v>57</v>
      </c>
      <c r="C495" s="5" t="s">
        <v>710</v>
      </c>
      <c r="D495" s="6">
        <v>45465.0</v>
      </c>
      <c r="E495" s="3"/>
      <c r="F495" s="3">
        <v>5275.6</v>
      </c>
      <c r="G495" s="3">
        <v>0.0</v>
      </c>
      <c r="H495" s="3">
        <v>475.0</v>
      </c>
      <c r="I495" s="3">
        <v>475.0</v>
      </c>
      <c r="J495" s="7">
        <f t="shared" si="1"/>
        <v>950</v>
      </c>
      <c r="K495" s="3"/>
      <c r="L495" s="3" t="str">
        <f t="shared" si="2"/>
        <v>27AAACB2900K1ZZ-4320296591-22062024</v>
      </c>
      <c r="M495" s="8">
        <f t="shared" si="7"/>
        <v>18.00743043</v>
      </c>
      <c r="N495" s="3" t="str">
        <f t="shared" si="4"/>
        <v/>
      </c>
      <c r="O495" s="9" t="str">
        <f t="shared" si="5"/>
        <v/>
      </c>
      <c r="P495" s="3" t="str">
        <f t="shared" si="6"/>
        <v/>
      </c>
      <c r="Q495" s="3"/>
    </row>
    <row r="496" ht="15.75" customHeight="1">
      <c r="A496" s="4" t="s">
        <v>154</v>
      </c>
      <c r="B496" s="5" t="s">
        <v>155</v>
      </c>
      <c r="C496" s="5" t="s">
        <v>711</v>
      </c>
      <c r="D496" s="6">
        <v>45465.0</v>
      </c>
      <c r="E496" s="3"/>
      <c r="F496" s="3">
        <v>25781.8</v>
      </c>
      <c r="G496" s="3">
        <v>0.0</v>
      </c>
      <c r="H496" s="3">
        <v>2320.36</v>
      </c>
      <c r="I496" s="3">
        <v>2320.36</v>
      </c>
      <c r="J496" s="7">
        <f t="shared" si="1"/>
        <v>4640.72</v>
      </c>
      <c r="K496" s="3"/>
      <c r="L496" s="3" t="str">
        <f t="shared" si="2"/>
        <v>27AACFE6426A1ZW-250714-22062024</v>
      </c>
      <c r="M496" s="8">
        <f t="shared" si="7"/>
        <v>17.99998449</v>
      </c>
      <c r="N496" s="3" t="str">
        <f t="shared" si="4"/>
        <v/>
      </c>
      <c r="O496" s="9" t="str">
        <f t="shared" si="5"/>
        <v/>
      </c>
      <c r="P496" s="3" t="str">
        <f t="shared" si="6"/>
        <v/>
      </c>
      <c r="Q496" s="3"/>
    </row>
    <row r="497" ht="15.75" customHeight="1">
      <c r="A497" s="4" t="s">
        <v>97</v>
      </c>
      <c r="B497" s="5" t="s">
        <v>98</v>
      </c>
      <c r="C497" s="5" t="s">
        <v>712</v>
      </c>
      <c r="D497" s="6">
        <v>45465.0</v>
      </c>
      <c r="E497" s="3"/>
      <c r="F497" s="3">
        <v>1500.0</v>
      </c>
      <c r="G497" s="3">
        <v>0.0</v>
      </c>
      <c r="H497" s="3">
        <v>37.5</v>
      </c>
      <c r="I497" s="3">
        <v>37.5</v>
      </c>
      <c r="J497" s="7">
        <f t="shared" si="1"/>
        <v>75</v>
      </c>
      <c r="K497" s="3"/>
      <c r="L497" s="3" t="str">
        <f t="shared" si="2"/>
        <v>27CBSPS4453E1Z6-2024-25/JUN235-22062024</v>
      </c>
      <c r="M497" s="8">
        <f t="shared" si="7"/>
        <v>5</v>
      </c>
      <c r="N497" s="3" t="str">
        <f t="shared" si="4"/>
        <v/>
      </c>
      <c r="O497" s="9" t="str">
        <f t="shared" si="5"/>
        <v/>
      </c>
      <c r="P497" s="3" t="str">
        <f t="shared" si="6"/>
        <v/>
      </c>
      <c r="Q497" s="3"/>
    </row>
    <row r="498" ht="15.75" customHeight="1">
      <c r="A498" s="4" t="s">
        <v>713</v>
      </c>
      <c r="B498" s="5" t="s">
        <v>714</v>
      </c>
      <c r="C498" s="5" t="s">
        <v>715</v>
      </c>
      <c r="D498" s="6">
        <v>45465.0</v>
      </c>
      <c r="E498" s="3"/>
      <c r="F498" s="3">
        <v>6413.56</v>
      </c>
      <c r="G498" s="3">
        <v>0.0</v>
      </c>
      <c r="H498" s="3">
        <v>577.22</v>
      </c>
      <c r="I498" s="3">
        <v>577.22</v>
      </c>
      <c r="J498" s="7">
        <f t="shared" si="1"/>
        <v>1154.44</v>
      </c>
      <c r="K498" s="3"/>
      <c r="L498" s="3" t="str">
        <f t="shared" si="2"/>
        <v>27DZCPK9046J1ZY-RELJ-6804-22062024</v>
      </c>
      <c r="M498" s="8">
        <f t="shared" si="7"/>
        <v>17.99998753</v>
      </c>
      <c r="N498" s="3" t="str">
        <f t="shared" si="4"/>
        <v/>
      </c>
      <c r="O498" s="9" t="str">
        <f t="shared" si="5"/>
        <v/>
      </c>
      <c r="P498" s="3" t="str">
        <f t="shared" si="6"/>
        <v/>
      </c>
      <c r="Q498" s="3"/>
    </row>
    <row r="499" ht="15.75" customHeight="1">
      <c r="A499" s="11" t="s">
        <v>309</v>
      </c>
      <c r="B499" s="5"/>
      <c r="C499" s="5" t="s">
        <v>715</v>
      </c>
      <c r="D499" s="6">
        <v>45465.0</v>
      </c>
      <c r="E499" s="3"/>
      <c r="F499" s="3">
        <v>0.0</v>
      </c>
      <c r="G499" s="3">
        <v>0.0</v>
      </c>
      <c r="H499" s="3">
        <v>0.0</v>
      </c>
      <c r="I499" s="3">
        <v>0.0</v>
      </c>
      <c r="J499" s="7">
        <f t="shared" si="1"/>
        <v>0</v>
      </c>
      <c r="K499" s="3"/>
      <c r="L499" s="3" t="str">
        <f t="shared" si="2"/>
        <v/>
      </c>
      <c r="M499" s="8" t="str">
        <f t="shared" si="7"/>
        <v/>
      </c>
      <c r="N499" s="3" t="str">
        <f t="shared" si="4"/>
        <v>GSTIN not entered</v>
      </c>
      <c r="O499" s="9" t="str">
        <f t="shared" si="5"/>
        <v/>
      </c>
      <c r="P499" s="3" t="str">
        <f t="shared" si="6"/>
        <v/>
      </c>
      <c r="Q499" s="3"/>
    </row>
    <row r="500" ht="15.75" customHeight="1">
      <c r="A500" s="4" t="s">
        <v>602</v>
      </c>
      <c r="B500" s="5" t="s">
        <v>603</v>
      </c>
      <c r="C500" s="5" t="s">
        <v>716</v>
      </c>
      <c r="D500" s="6">
        <v>45466.0</v>
      </c>
      <c r="E500" s="3"/>
      <c r="F500" s="3">
        <v>467444.0</v>
      </c>
      <c r="G500" s="3">
        <v>0.0</v>
      </c>
      <c r="H500" s="3">
        <v>42069.96</v>
      </c>
      <c r="I500" s="3">
        <v>42069.96</v>
      </c>
      <c r="J500" s="7">
        <f t="shared" si="1"/>
        <v>84139.92</v>
      </c>
      <c r="K500" s="3"/>
      <c r="L500" s="3" t="str">
        <f t="shared" si="2"/>
        <v>27AABPM4584C1ZT-58-23062024</v>
      </c>
      <c r="M500" s="8">
        <f t="shared" si="7"/>
        <v>18</v>
      </c>
      <c r="N500" s="3" t="str">
        <f t="shared" si="4"/>
        <v/>
      </c>
      <c r="O500" s="9" t="str">
        <f t="shared" si="5"/>
        <v/>
      </c>
      <c r="P500" s="3" t="str">
        <f t="shared" si="6"/>
        <v/>
      </c>
      <c r="Q500" s="3"/>
    </row>
    <row r="501" ht="15.75" customHeight="1">
      <c r="A501" s="4" t="s">
        <v>602</v>
      </c>
      <c r="B501" s="5" t="s">
        <v>603</v>
      </c>
      <c r="C501" s="5" t="s">
        <v>717</v>
      </c>
      <c r="D501" s="6">
        <v>45466.0</v>
      </c>
      <c r="E501" s="3"/>
      <c r="F501" s="3">
        <v>588004.0</v>
      </c>
      <c r="G501" s="3">
        <v>0.0</v>
      </c>
      <c r="H501" s="3">
        <v>52920.36</v>
      </c>
      <c r="I501" s="3">
        <v>52920.36</v>
      </c>
      <c r="J501" s="7">
        <f t="shared" si="1"/>
        <v>105840.72</v>
      </c>
      <c r="K501" s="3"/>
      <c r="L501" s="3" t="str">
        <f t="shared" si="2"/>
        <v>27AABPM4584C1ZT-59-23062024</v>
      </c>
      <c r="M501" s="8">
        <f t="shared" si="7"/>
        <v>18</v>
      </c>
      <c r="N501" s="3" t="str">
        <f t="shared" si="4"/>
        <v/>
      </c>
      <c r="O501" s="9" t="str">
        <f t="shared" si="5"/>
        <v/>
      </c>
      <c r="P501" s="3" t="str">
        <f t="shared" si="6"/>
        <v/>
      </c>
      <c r="Q501" s="3"/>
    </row>
    <row r="502" ht="15.75" customHeight="1">
      <c r="A502" s="4" t="s">
        <v>718</v>
      </c>
      <c r="B502" s="5"/>
      <c r="C502" s="5" t="s">
        <v>719</v>
      </c>
      <c r="D502" s="6">
        <v>45467.0</v>
      </c>
      <c r="E502" s="3"/>
      <c r="F502" s="3">
        <v>8947.0</v>
      </c>
      <c r="G502" s="3">
        <v>0.0</v>
      </c>
      <c r="H502" s="3">
        <v>805.23</v>
      </c>
      <c r="I502" s="3">
        <v>805.23</v>
      </c>
      <c r="J502" s="7">
        <f t="shared" si="1"/>
        <v>1610.46</v>
      </c>
      <c r="K502" s="3"/>
      <c r="L502" s="3" t="str">
        <f t="shared" si="2"/>
        <v/>
      </c>
      <c r="M502" s="8">
        <f t="shared" si="7"/>
        <v>18</v>
      </c>
      <c r="N502" s="3" t="str">
        <f t="shared" si="4"/>
        <v>GSTIN not entered</v>
      </c>
      <c r="O502" s="9" t="str">
        <f t="shared" si="5"/>
        <v/>
      </c>
      <c r="P502" s="3" t="str">
        <f t="shared" si="6"/>
        <v/>
      </c>
      <c r="Q502" s="3"/>
    </row>
    <row r="503" ht="15.75" customHeight="1">
      <c r="A503" s="4" t="s">
        <v>225</v>
      </c>
      <c r="B503" s="5" t="s">
        <v>226</v>
      </c>
      <c r="C503" s="5" t="s">
        <v>720</v>
      </c>
      <c r="D503" s="6">
        <v>45467.0</v>
      </c>
      <c r="E503" s="3"/>
      <c r="F503" s="3">
        <v>7744.0</v>
      </c>
      <c r="G503" s="3">
        <v>0.0</v>
      </c>
      <c r="H503" s="3">
        <v>696.96</v>
      </c>
      <c r="I503" s="3">
        <v>696.96</v>
      </c>
      <c r="J503" s="7">
        <f t="shared" si="1"/>
        <v>1393.92</v>
      </c>
      <c r="K503" s="3"/>
      <c r="L503" s="3" t="str">
        <f t="shared" si="2"/>
        <v>27AAFFM6083Q1ZJ-1147-24062024</v>
      </c>
      <c r="M503" s="8">
        <f t="shared" si="7"/>
        <v>18</v>
      </c>
      <c r="N503" s="3" t="str">
        <f t="shared" si="4"/>
        <v/>
      </c>
      <c r="O503" s="9" t="str">
        <f t="shared" si="5"/>
        <v/>
      </c>
      <c r="P503" s="3" t="str">
        <f t="shared" si="6"/>
        <v/>
      </c>
      <c r="Q503" s="3"/>
    </row>
    <row r="504" ht="15.75" customHeight="1">
      <c r="A504" s="4" t="s">
        <v>50</v>
      </c>
      <c r="B504" s="5" t="s">
        <v>51</v>
      </c>
      <c r="C504" s="5" t="s">
        <v>721</v>
      </c>
      <c r="D504" s="6">
        <v>45467.0</v>
      </c>
      <c r="E504" s="3"/>
      <c r="F504" s="3">
        <v>3200.0</v>
      </c>
      <c r="G504" s="3">
        <v>0.0</v>
      </c>
      <c r="H504" s="3">
        <v>288.0</v>
      </c>
      <c r="I504" s="3">
        <v>288.0</v>
      </c>
      <c r="J504" s="7">
        <f t="shared" si="1"/>
        <v>576</v>
      </c>
      <c r="K504" s="3"/>
      <c r="L504" s="3" t="str">
        <f t="shared" si="2"/>
        <v>27AAPPS9140J1Z0-1734/2024-25-24062024</v>
      </c>
      <c r="M504" s="8">
        <f t="shared" si="7"/>
        <v>18</v>
      </c>
      <c r="N504" s="3" t="str">
        <f t="shared" si="4"/>
        <v/>
      </c>
      <c r="O504" s="9" t="str">
        <f t="shared" si="5"/>
        <v/>
      </c>
      <c r="P504" s="3" t="str">
        <f t="shared" si="6"/>
        <v/>
      </c>
      <c r="Q504" s="3"/>
    </row>
    <row r="505" ht="15.75" customHeight="1">
      <c r="A505" s="4" t="s">
        <v>273</v>
      </c>
      <c r="B505" s="5" t="s">
        <v>274</v>
      </c>
      <c r="C505" s="5" t="s">
        <v>722</v>
      </c>
      <c r="D505" s="6">
        <v>45467.0</v>
      </c>
      <c r="E505" s="3"/>
      <c r="F505" s="3">
        <v>11862.5</v>
      </c>
      <c r="G505" s="3">
        <v>0.0</v>
      </c>
      <c r="H505" s="3">
        <v>1067.63</v>
      </c>
      <c r="I505" s="3">
        <v>1067.63</v>
      </c>
      <c r="J505" s="7">
        <f t="shared" si="1"/>
        <v>2135.26</v>
      </c>
      <c r="K505" s="3"/>
      <c r="L505" s="3" t="str">
        <f t="shared" si="2"/>
        <v>27AAOPS6151N1ZW-117-24062024</v>
      </c>
      <c r="M505" s="8">
        <f t="shared" si="7"/>
        <v>18.0000843</v>
      </c>
      <c r="N505" s="3" t="str">
        <f t="shared" si="4"/>
        <v/>
      </c>
      <c r="O505" s="9" t="str">
        <f t="shared" si="5"/>
        <v/>
      </c>
      <c r="P505" s="3" t="str">
        <f t="shared" si="6"/>
        <v/>
      </c>
      <c r="Q505" s="3"/>
    </row>
    <row r="506" ht="15.75" customHeight="1">
      <c r="A506" s="4" t="s">
        <v>35</v>
      </c>
      <c r="B506" s="5" t="s">
        <v>36</v>
      </c>
      <c r="C506" s="5" t="s">
        <v>723</v>
      </c>
      <c r="D506" s="6">
        <v>45467.0</v>
      </c>
      <c r="E506" s="3"/>
      <c r="F506" s="3">
        <v>8342.0</v>
      </c>
      <c r="G506" s="3">
        <v>0.0</v>
      </c>
      <c r="H506" s="3">
        <v>751.0</v>
      </c>
      <c r="I506" s="3">
        <v>751.0</v>
      </c>
      <c r="J506" s="7">
        <f t="shared" si="1"/>
        <v>1502</v>
      </c>
      <c r="K506" s="3"/>
      <c r="L506" s="3" t="str">
        <f t="shared" si="2"/>
        <v>27AATPW4996L1ZA-3366-24062024</v>
      </c>
      <c r="M506" s="8">
        <f t="shared" si="7"/>
        <v>18.00527451</v>
      </c>
      <c r="N506" s="3" t="str">
        <f t="shared" si="4"/>
        <v/>
      </c>
      <c r="O506" s="9" t="str">
        <f t="shared" si="5"/>
        <v/>
      </c>
      <c r="P506" s="3" t="str">
        <f t="shared" si="6"/>
        <v/>
      </c>
      <c r="Q506" s="3"/>
    </row>
    <row r="507" ht="15.75" customHeight="1">
      <c r="A507" s="4" t="s">
        <v>41</v>
      </c>
      <c r="B507" s="5" t="s">
        <v>42</v>
      </c>
      <c r="C507" s="5" t="s">
        <v>724</v>
      </c>
      <c r="D507" s="6">
        <v>45467.0</v>
      </c>
      <c r="E507" s="3"/>
      <c r="F507" s="3">
        <v>604.5</v>
      </c>
      <c r="G507" s="3">
        <v>0.0</v>
      </c>
      <c r="H507" s="3">
        <v>54.41</v>
      </c>
      <c r="I507" s="3">
        <v>54.41</v>
      </c>
      <c r="J507" s="7">
        <f t="shared" si="1"/>
        <v>108.82</v>
      </c>
      <c r="K507" s="3"/>
      <c r="L507" s="3" t="str">
        <f t="shared" si="2"/>
        <v>27AACCA4768Q1Z0-604-24062024</v>
      </c>
      <c r="M507" s="8">
        <f t="shared" si="7"/>
        <v>18.00165426</v>
      </c>
      <c r="N507" s="3" t="str">
        <f t="shared" si="4"/>
        <v/>
      </c>
      <c r="O507" s="9" t="str">
        <f t="shared" si="5"/>
        <v/>
      </c>
      <c r="P507" s="3" t="str">
        <f t="shared" si="6"/>
        <v/>
      </c>
      <c r="Q507" s="3"/>
    </row>
    <row r="508" ht="15.75" customHeight="1">
      <c r="A508" s="4" t="s">
        <v>41</v>
      </c>
      <c r="B508" s="5" t="s">
        <v>42</v>
      </c>
      <c r="C508" s="5" t="s">
        <v>725</v>
      </c>
      <c r="D508" s="6">
        <v>45467.0</v>
      </c>
      <c r="E508" s="3"/>
      <c r="F508" s="3">
        <v>4500.0</v>
      </c>
      <c r="G508" s="3">
        <v>0.0</v>
      </c>
      <c r="H508" s="3">
        <v>405.0</v>
      </c>
      <c r="I508" s="3">
        <v>405.0</v>
      </c>
      <c r="J508" s="7">
        <f t="shared" si="1"/>
        <v>810</v>
      </c>
      <c r="K508" s="3"/>
      <c r="L508" s="3" t="str">
        <f t="shared" si="2"/>
        <v>27AACCA4768Q1Z0-603-24062024</v>
      </c>
      <c r="M508" s="8">
        <f t="shared" si="7"/>
        <v>18</v>
      </c>
      <c r="N508" s="3" t="str">
        <f t="shared" si="4"/>
        <v/>
      </c>
      <c r="O508" s="9" t="str">
        <f t="shared" si="5"/>
        <v/>
      </c>
      <c r="P508" s="3" t="str">
        <f t="shared" si="6"/>
        <v/>
      </c>
      <c r="Q508" s="3"/>
    </row>
    <row r="509" ht="15.75" customHeight="1">
      <c r="A509" s="4" t="s">
        <v>66</v>
      </c>
      <c r="B509" s="5" t="s">
        <v>67</v>
      </c>
      <c r="C509" s="5" t="s">
        <v>726</v>
      </c>
      <c r="D509" s="6">
        <v>45467.0</v>
      </c>
      <c r="E509" s="3"/>
      <c r="F509" s="3">
        <v>40904.0</v>
      </c>
      <c r="G509" s="3">
        <v>0.0</v>
      </c>
      <c r="H509" s="3">
        <v>3681.36</v>
      </c>
      <c r="I509" s="3">
        <v>3681.36</v>
      </c>
      <c r="J509" s="7">
        <f t="shared" si="1"/>
        <v>7362.72</v>
      </c>
      <c r="K509" s="3"/>
      <c r="L509" s="3" t="str">
        <f t="shared" si="2"/>
        <v>27AABFM0352J1ZH-127/24-25-24062024</v>
      </c>
      <c r="M509" s="8">
        <f t="shared" si="7"/>
        <v>18</v>
      </c>
      <c r="N509" s="3" t="str">
        <f t="shared" si="4"/>
        <v/>
      </c>
      <c r="O509" s="9" t="str">
        <f t="shared" si="5"/>
        <v/>
      </c>
      <c r="P509" s="3" t="str">
        <f t="shared" si="6"/>
        <v/>
      </c>
      <c r="Q509" s="3"/>
    </row>
    <row r="510" ht="15.75" customHeight="1">
      <c r="A510" s="4" t="s">
        <v>66</v>
      </c>
      <c r="B510" s="5" t="s">
        <v>67</v>
      </c>
      <c r="C510" s="5" t="s">
        <v>727</v>
      </c>
      <c r="D510" s="6">
        <v>45467.0</v>
      </c>
      <c r="E510" s="3"/>
      <c r="F510" s="3">
        <v>900.0</v>
      </c>
      <c r="G510" s="3">
        <v>0.0</v>
      </c>
      <c r="H510" s="3">
        <v>81.0</v>
      </c>
      <c r="I510" s="3">
        <v>81.0</v>
      </c>
      <c r="J510" s="7">
        <f t="shared" si="1"/>
        <v>162</v>
      </c>
      <c r="K510" s="3"/>
      <c r="L510" s="3" t="str">
        <f t="shared" si="2"/>
        <v>27AABFM0352J1ZH-128/24-25-24062024</v>
      </c>
      <c r="M510" s="8">
        <f t="shared" si="7"/>
        <v>18</v>
      </c>
      <c r="N510" s="3" t="str">
        <f t="shared" si="4"/>
        <v/>
      </c>
      <c r="O510" s="9" t="str">
        <f t="shared" si="5"/>
        <v/>
      </c>
      <c r="P510" s="3" t="str">
        <f t="shared" si="6"/>
        <v/>
      </c>
      <c r="Q510" s="3"/>
    </row>
    <row r="511" ht="15.75" customHeight="1">
      <c r="A511" s="4" t="s">
        <v>56</v>
      </c>
      <c r="B511" s="5" t="s">
        <v>57</v>
      </c>
      <c r="C511" s="5" t="s">
        <v>728</v>
      </c>
      <c r="D511" s="6">
        <v>45467.0</v>
      </c>
      <c r="E511" s="3"/>
      <c r="F511" s="3">
        <v>16940.0</v>
      </c>
      <c r="G511" s="3">
        <v>0.0</v>
      </c>
      <c r="H511" s="3">
        <v>1525.0</v>
      </c>
      <c r="I511" s="3">
        <v>1525.0</v>
      </c>
      <c r="J511" s="7">
        <f t="shared" si="1"/>
        <v>3050</v>
      </c>
      <c r="K511" s="3"/>
      <c r="L511" s="3" t="str">
        <f t="shared" si="2"/>
        <v>27AAACB2900K1ZZ-4320296667-24062024</v>
      </c>
      <c r="M511" s="8">
        <f t="shared" si="7"/>
        <v>18.00472255</v>
      </c>
      <c r="N511" s="3" t="str">
        <f t="shared" si="4"/>
        <v/>
      </c>
      <c r="O511" s="9" t="str">
        <f t="shared" si="5"/>
        <v/>
      </c>
      <c r="P511" s="3" t="str">
        <f t="shared" si="6"/>
        <v/>
      </c>
      <c r="Q511" s="3"/>
    </row>
    <row r="512" ht="15.75" customHeight="1">
      <c r="A512" s="4" t="s">
        <v>44</v>
      </c>
      <c r="B512" s="5" t="s">
        <v>45</v>
      </c>
      <c r="C512" s="5" t="s">
        <v>729</v>
      </c>
      <c r="D512" s="6">
        <v>45467.0</v>
      </c>
      <c r="E512" s="3"/>
      <c r="F512" s="3">
        <v>27589.15</v>
      </c>
      <c r="G512" s="3">
        <v>0.0</v>
      </c>
      <c r="H512" s="3">
        <v>2483.03</v>
      </c>
      <c r="I512" s="3">
        <v>2483.03</v>
      </c>
      <c r="J512" s="7">
        <f t="shared" si="1"/>
        <v>4966.06</v>
      </c>
      <c r="K512" s="3"/>
      <c r="L512" s="3" t="str">
        <f t="shared" si="2"/>
        <v>27BAEPA9590G1ZL-BWND/24-25/687-24062024</v>
      </c>
      <c r="M512" s="8">
        <f t="shared" si="7"/>
        <v>18.00004712</v>
      </c>
      <c r="N512" s="3" t="str">
        <f t="shared" si="4"/>
        <v/>
      </c>
      <c r="O512" s="9" t="str">
        <f t="shared" si="5"/>
        <v/>
      </c>
      <c r="P512" s="3" t="str">
        <f t="shared" si="6"/>
        <v/>
      </c>
      <c r="Q512" s="3"/>
    </row>
    <row r="513" ht="15.75" customHeight="1">
      <c r="A513" s="4" t="s">
        <v>73</v>
      </c>
      <c r="B513" s="5" t="s">
        <v>74</v>
      </c>
      <c r="C513" s="5" t="s">
        <v>730</v>
      </c>
      <c r="D513" s="6">
        <v>45467.0</v>
      </c>
      <c r="E513" s="3"/>
      <c r="F513" s="3">
        <v>6600.0</v>
      </c>
      <c r="G513" s="3">
        <v>0.0</v>
      </c>
      <c r="H513" s="3">
        <v>594.0</v>
      </c>
      <c r="I513" s="3">
        <v>594.0</v>
      </c>
      <c r="J513" s="7">
        <f t="shared" si="1"/>
        <v>1188</v>
      </c>
      <c r="K513" s="3"/>
      <c r="L513" s="3" t="str">
        <f t="shared" si="2"/>
        <v>27ADXFS5568H1Z4-SRE/2676/24-25-24062024</v>
      </c>
      <c r="M513" s="8">
        <f t="shared" si="7"/>
        <v>18</v>
      </c>
      <c r="N513" s="3" t="str">
        <f t="shared" si="4"/>
        <v/>
      </c>
      <c r="O513" s="9" t="str">
        <f t="shared" si="5"/>
        <v/>
      </c>
      <c r="P513" s="3" t="str">
        <f t="shared" si="6"/>
        <v/>
      </c>
      <c r="Q513" s="3"/>
    </row>
    <row r="514" ht="15.75" customHeight="1">
      <c r="A514" s="4" t="s">
        <v>290</v>
      </c>
      <c r="B514" s="5"/>
      <c r="C514" s="5" t="s">
        <v>731</v>
      </c>
      <c r="D514" s="6">
        <v>45467.0</v>
      </c>
      <c r="E514" s="3"/>
      <c r="F514" s="3">
        <v>2092.0</v>
      </c>
      <c r="G514" s="3">
        <v>0.0</v>
      </c>
      <c r="H514" s="3">
        <v>188.28</v>
      </c>
      <c r="I514" s="3">
        <v>188.28</v>
      </c>
      <c r="J514" s="7">
        <f t="shared" si="1"/>
        <v>376.56</v>
      </c>
      <c r="K514" s="3"/>
      <c r="L514" s="3" t="str">
        <f t="shared" si="2"/>
        <v/>
      </c>
      <c r="M514" s="8">
        <f t="shared" si="7"/>
        <v>18</v>
      </c>
      <c r="N514" s="3" t="str">
        <f t="shared" si="4"/>
        <v>GSTIN not entered</v>
      </c>
      <c r="O514" s="9" t="str">
        <f t="shared" si="5"/>
        <v/>
      </c>
      <c r="P514" s="3" t="str">
        <f t="shared" si="6"/>
        <v/>
      </c>
      <c r="Q514" s="3"/>
    </row>
    <row r="515" ht="15.75" customHeight="1">
      <c r="A515" s="4" t="s">
        <v>103</v>
      </c>
      <c r="B515" s="5" t="s">
        <v>104</v>
      </c>
      <c r="C515" s="5" t="s">
        <v>732</v>
      </c>
      <c r="D515" s="6">
        <v>45467.0</v>
      </c>
      <c r="E515" s="3"/>
      <c r="F515" s="3">
        <v>5700.0</v>
      </c>
      <c r="G515" s="3">
        <v>0.0</v>
      </c>
      <c r="H515" s="3">
        <v>0.0</v>
      </c>
      <c r="I515" s="3">
        <v>0.0</v>
      </c>
      <c r="J515" s="7">
        <f t="shared" si="1"/>
        <v>0</v>
      </c>
      <c r="K515" s="3"/>
      <c r="L515" s="3" t="str">
        <f t="shared" si="2"/>
        <v>27AAACT7966R1ZB-647944776-24062024</v>
      </c>
      <c r="M515" s="8">
        <f t="shared" si="7"/>
        <v>0</v>
      </c>
      <c r="N515" s="3" t="str">
        <f t="shared" si="4"/>
        <v/>
      </c>
      <c r="O515" s="9" t="str">
        <f t="shared" si="5"/>
        <v/>
      </c>
      <c r="P515" s="3" t="str">
        <f t="shared" si="6"/>
        <v/>
      </c>
      <c r="Q515" s="3"/>
    </row>
    <row r="516" ht="15.75" customHeight="1">
      <c r="A516" s="4" t="s">
        <v>195</v>
      </c>
      <c r="B516" s="5" t="s">
        <v>196</v>
      </c>
      <c r="C516" s="5" t="s">
        <v>733</v>
      </c>
      <c r="D516" s="6">
        <v>45468.0</v>
      </c>
      <c r="E516" s="3"/>
      <c r="F516" s="3">
        <v>700.0</v>
      </c>
      <c r="G516" s="3">
        <v>0.0</v>
      </c>
      <c r="H516" s="3">
        <v>63.0</v>
      </c>
      <c r="I516" s="3">
        <v>63.0</v>
      </c>
      <c r="J516" s="7">
        <f t="shared" si="1"/>
        <v>126</v>
      </c>
      <c r="K516" s="3"/>
      <c r="L516" s="3" t="str">
        <f t="shared" si="2"/>
        <v>27ACIPK1680N1Z6-590/24-25-25062024</v>
      </c>
      <c r="M516" s="8">
        <f t="shared" si="7"/>
        <v>18</v>
      </c>
      <c r="N516" s="3" t="str">
        <f t="shared" si="4"/>
        <v/>
      </c>
      <c r="O516" s="9" t="str">
        <f t="shared" si="5"/>
        <v/>
      </c>
      <c r="P516" s="3" t="str">
        <f t="shared" si="6"/>
        <v/>
      </c>
      <c r="Q516" s="3"/>
    </row>
    <row r="517" ht="15.75" customHeight="1">
      <c r="A517" s="4" t="s">
        <v>169</v>
      </c>
      <c r="B517" s="5" t="s">
        <v>170</v>
      </c>
      <c r="C517" s="5" t="s">
        <v>734</v>
      </c>
      <c r="D517" s="6">
        <v>45468.0</v>
      </c>
      <c r="E517" s="3"/>
      <c r="F517" s="3">
        <v>4500.0</v>
      </c>
      <c r="G517" s="3">
        <v>0.0</v>
      </c>
      <c r="H517" s="3">
        <v>405.0</v>
      </c>
      <c r="I517" s="3">
        <v>405.0</v>
      </c>
      <c r="J517" s="7">
        <f t="shared" si="1"/>
        <v>810</v>
      </c>
      <c r="K517" s="3"/>
      <c r="L517" s="3" t="str">
        <f t="shared" si="2"/>
        <v>27ADJPR1065Q1ZV-SMI/503/24-25-25062024</v>
      </c>
      <c r="M517" s="8">
        <f t="shared" si="7"/>
        <v>18</v>
      </c>
      <c r="N517" s="3" t="str">
        <f t="shared" si="4"/>
        <v/>
      </c>
      <c r="O517" s="9" t="str">
        <f t="shared" si="5"/>
        <v/>
      </c>
      <c r="P517" s="3" t="str">
        <f t="shared" si="6"/>
        <v/>
      </c>
      <c r="Q517" s="3"/>
    </row>
    <row r="518" ht="15.75" customHeight="1">
      <c r="A518" s="4" t="s">
        <v>97</v>
      </c>
      <c r="B518" s="5" t="s">
        <v>98</v>
      </c>
      <c r="C518" s="5" t="s">
        <v>735</v>
      </c>
      <c r="D518" s="6">
        <v>45468.0</v>
      </c>
      <c r="E518" s="3"/>
      <c r="F518" s="3">
        <v>150.0</v>
      </c>
      <c r="G518" s="3">
        <v>0.0</v>
      </c>
      <c r="H518" s="3">
        <v>13.5</v>
      </c>
      <c r="I518" s="3">
        <v>13.5</v>
      </c>
      <c r="J518" s="7">
        <f t="shared" si="1"/>
        <v>27</v>
      </c>
      <c r="K518" s="3"/>
      <c r="L518" s="3" t="str">
        <f t="shared" si="2"/>
        <v>27CBSPS4453E1Z6-2024-25/JUN274-25062024</v>
      </c>
      <c r="M518" s="8">
        <f t="shared" si="7"/>
        <v>18</v>
      </c>
      <c r="N518" s="3" t="str">
        <f t="shared" si="4"/>
        <v/>
      </c>
      <c r="O518" s="9" t="str">
        <f t="shared" si="5"/>
        <v/>
      </c>
      <c r="P518" s="3" t="str">
        <f t="shared" si="6"/>
        <v/>
      </c>
      <c r="Q518" s="3"/>
    </row>
    <row r="519" ht="15.75" customHeight="1">
      <c r="A519" s="4" t="s">
        <v>313</v>
      </c>
      <c r="B519" s="5" t="s">
        <v>314</v>
      </c>
      <c r="C519" s="5" t="s">
        <v>736</v>
      </c>
      <c r="D519" s="6">
        <v>45468.0</v>
      </c>
      <c r="E519" s="3"/>
      <c r="F519" s="3">
        <v>650.0</v>
      </c>
      <c r="G519" s="3">
        <v>0.0</v>
      </c>
      <c r="H519" s="3">
        <v>58.5</v>
      </c>
      <c r="I519" s="3">
        <v>58.5</v>
      </c>
      <c r="J519" s="7">
        <f t="shared" si="1"/>
        <v>117</v>
      </c>
      <c r="K519" s="3"/>
      <c r="L519" s="3" t="str">
        <f t="shared" si="2"/>
        <v>27APJPP3633C1ZZ-PTS/24-25/1305-25062024</v>
      </c>
      <c r="M519" s="8">
        <f t="shared" si="7"/>
        <v>18</v>
      </c>
      <c r="N519" s="3" t="str">
        <f t="shared" si="4"/>
        <v/>
      </c>
      <c r="O519" s="9" t="str">
        <f t="shared" si="5"/>
        <v/>
      </c>
      <c r="P519" s="3" t="str">
        <f t="shared" si="6"/>
        <v/>
      </c>
      <c r="Q519" s="3"/>
    </row>
    <row r="520" ht="15.75" customHeight="1">
      <c r="A520" s="4" t="s">
        <v>737</v>
      </c>
      <c r="B520" s="5" t="s">
        <v>738</v>
      </c>
      <c r="C520" s="5" t="s">
        <v>739</v>
      </c>
      <c r="D520" s="6">
        <v>45469.0</v>
      </c>
      <c r="E520" s="3"/>
      <c r="F520" s="3">
        <v>3000.0</v>
      </c>
      <c r="G520" s="3">
        <v>0.0</v>
      </c>
      <c r="H520" s="3">
        <v>75.0</v>
      </c>
      <c r="I520" s="3">
        <v>75.0</v>
      </c>
      <c r="J520" s="7">
        <f t="shared" si="1"/>
        <v>150</v>
      </c>
      <c r="K520" s="3"/>
      <c r="L520" s="3" t="str">
        <f t="shared" si="2"/>
        <v>27AAAFT1125B1ZV-178-26062024</v>
      </c>
      <c r="M520" s="8">
        <f t="shared" si="7"/>
        <v>5</v>
      </c>
      <c r="N520" s="3" t="str">
        <f t="shared" si="4"/>
        <v/>
      </c>
      <c r="O520" s="9" t="str">
        <f t="shared" si="5"/>
        <v/>
      </c>
      <c r="P520" s="3" t="str">
        <f t="shared" si="6"/>
        <v/>
      </c>
      <c r="Q520" s="3"/>
    </row>
    <row r="521" ht="15.75" customHeight="1">
      <c r="A521" s="4" t="s">
        <v>44</v>
      </c>
      <c r="B521" s="5" t="s">
        <v>45</v>
      </c>
      <c r="C521" s="5" t="s">
        <v>740</v>
      </c>
      <c r="D521" s="6">
        <v>45469.0</v>
      </c>
      <c r="E521" s="3"/>
      <c r="F521" s="3">
        <v>1756.35</v>
      </c>
      <c r="G521" s="3">
        <v>0.0</v>
      </c>
      <c r="H521" s="3">
        <v>158.07</v>
      </c>
      <c r="I521" s="3">
        <v>158.07</v>
      </c>
      <c r="J521" s="7">
        <f t="shared" si="1"/>
        <v>316.14</v>
      </c>
      <c r="K521" s="3"/>
      <c r="L521" s="3" t="str">
        <f t="shared" si="2"/>
        <v>27BAEPA9590G1ZL-BWND/24-25/700-26062024</v>
      </c>
      <c r="M521" s="8">
        <f t="shared" si="7"/>
        <v>17.99982919</v>
      </c>
      <c r="N521" s="3" t="str">
        <f t="shared" si="4"/>
        <v/>
      </c>
      <c r="O521" s="9" t="str">
        <f t="shared" si="5"/>
        <v/>
      </c>
      <c r="P521" s="3" t="str">
        <f t="shared" si="6"/>
        <v/>
      </c>
      <c r="Q521" s="3"/>
    </row>
    <row r="522" ht="15.75" customHeight="1">
      <c r="A522" s="4" t="s">
        <v>47</v>
      </c>
      <c r="B522" s="5" t="s">
        <v>48</v>
      </c>
      <c r="C522" s="5" t="s">
        <v>741</v>
      </c>
      <c r="D522" s="6">
        <v>45469.0</v>
      </c>
      <c r="E522" s="3"/>
      <c r="F522" s="3">
        <v>29722.5</v>
      </c>
      <c r="G522" s="3">
        <v>0.0</v>
      </c>
      <c r="H522" s="3">
        <v>2675.03</v>
      </c>
      <c r="I522" s="3">
        <v>2675.03</v>
      </c>
      <c r="J522" s="7">
        <f t="shared" si="1"/>
        <v>5350.06</v>
      </c>
      <c r="K522" s="3"/>
      <c r="L522" s="3" t="str">
        <f t="shared" si="2"/>
        <v>27AAAFM2359N1ZZ-7942-26062024</v>
      </c>
      <c r="M522" s="8">
        <f t="shared" si="7"/>
        <v>18.00003364</v>
      </c>
      <c r="N522" s="3" t="str">
        <f t="shared" si="4"/>
        <v/>
      </c>
      <c r="O522" s="9" t="str">
        <f t="shared" si="5"/>
        <v/>
      </c>
      <c r="P522" s="3" t="str">
        <f t="shared" si="6"/>
        <v/>
      </c>
      <c r="Q522" s="3"/>
    </row>
    <row r="523" ht="15.75" customHeight="1">
      <c r="A523" s="4" t="s">
        <v>718</v>
      </c>
      <c r="B523" s="5" t="s">
        <v>742</v>
      </c>
      <c r="C523" s="5" t="s">
        <v>743</v>
      </c>
      <c r="D523" s="6">
        <v>45469.0</v>
      </c>
      <c r="E523" s="3"/>
      <c r="F523" s="3">
        <v>600.0</v>
      </c>
      <c r="G523" s="3">
        <v>0.0</v>
      </c>
      <c r="H523" s="3">
        <v>54.0</v>
      </c>
      <c r="I523" s="3">
        <v>54.0</v>
      </c>
      <c r="J523" s="7">
        <f t="shared" si="1"/>
        <v>108</v>
      </c>
      <c r="K523" s="3"/>
      <c r="L523" s="3" t="str">
        <f t="shared" si="2"/>
        <v>27DERPR1171F1Z6-1083-26062024</v>
      </c>
      <c r="M523" s="8">
        <f t="shared" si="7"/>
        <v>18</v>
      </c>
      <c r="N523" s="3" t="str">
        <f t="shared" si="4"/>
        <v/>
      </c>
      <c r="O523" s="9" t="str">
        <f t="shared" si="5"/>
        <v/>
      </c>
      <c r="P523" s="3" t="str">
        <f t="shared" si="6"/>
        <v/>
      </c>
      <c r="Q523" s="3"/>
    </row>
    <row r="524" ht="15.75" customHeight="1">
      <c r="A524" s="4" t="s">
        <v>66</v>
      </c>
      <c r="B524" s="5" t="s">
        <v>67</v>
      </c>
      <c r="C524" s="5" t="s">
        <v>744</v>
      </c>
      <c r="D524" s="6">
        <v>45469.0</v>
      </c>
      <c r="E524" s="3"/>
      <c r="F524" s="3">
        <v>450.0</v>
      </c>
      <c r="G524" s="3">
        <v>0.0</v>
      </c>
      <c r="H524" s="3">
        <v>40.5</v>
      </c>
      <c r="I524" s="3">
        <v>40.5</v>
      </c>
      <c r="J524" s="7">
        <f t="shared" si="1"/>
        <v>81</v>
      </c>
      <c r="K524" s="3"/>
      <c r="L524" s="3" t="str">
        <f t="shared" si="2"/>
        <v>27AABFM0352J1ZH-132/24-25-26062024</v>
      </c>
      <c r="M524" s="8">
        <f t="shared" si="7"/>
        <v>18</v>
      </c>
      <c r="N524" s="3" t="str">
        <f t="shared" si="4"/>
        <v/>
      </c>
      <c r="O524" s="9" t="str">
        <f t="shared" si="5"/>
        <v/>
      </c>
      <c r="P524" s="3" t="str">
        <f t="shared" si="6"/>
        <v/>
      </c>
      <c r="Q524" s="3"/>
    </row>
    <row r="525" ht="15.75" customHeight="1">
      <c r="A525" s="4" t="s">
        <v>41</v>
      </c>
      <c r="B525" s="5" t="s">
        <v>42</v>
      </c>
      <c r="C525" s="5" t="s">
        <v>745</v>
      </c>
      <c r="D525" s="6">
        <v>45469.0</v>
      </c>
      <c r="E525" s="3"/>
      <c r="F525" s="3">
        <v>2280.0</v>
      </c>
      <c r="G525" s="3">
        <v>0.0</v>
      </c>
      <c r="H525" s="3">
        <v>205.2</v>
      </c>
      <c r="I525" s="3">
        <v>205.2</v>
      </c>
      <c r="J525" s="7">
        <f t="shared" si="1"/>
        <v>410.4</v>
      </c>
      <c r="K525" s="3"/>
      <c r="L525" s="3" t="str">
        <f t="shared" si="2"/>
        <v>27AACCA4768Q1Z0-616-26062024</v>
      </c>
      <c r="M525" s="8">
        <f t="shared" si="7"/>
        <v>18</v>
      </c>
      <c r="N525" s="3" t="str">
        <f t="shared" si="4"/>
        <v/>
      </c>
      <c r="O525" s="9" t="str">
        <f t="shared" si="5"/>
        <v/>
      </c>
      <c r="P525" s="3" t="str">
        <f t="shared" si="6"/>
        <v/>
      </c>
      <c r="Q525" s="3"/>
    </row>
    <row r="526" ht="15.75" customHeight="1">
      <c r="A526" s="4" t="s">
        <v>25</v>
      </c>
      <c r="B526" s="5" t="s">
        <v>26</v>
      </c>
      <c r="C526" s="5" t="s">
        <v>746</v>
      </c>
      <c r="D526" s="6">
        <v>45469.0</v>
      </c>
      <c r="E526" s="3"/>
      <c r="F526" s="3">
        <v>29388.0</v>
      </c>
      <c r="G526" s="3">
        <v>0.0</v>
      </c>
      <c r="H526" s="3">
        <v>1763.28</v>
      </c>
      <c r="I526" s="3">
        <v>1763.28</v>
      </c>
      <c r="J526" s="7">
        <f t="shared" si="1"/>
        <v>3526.56</v>
      </c>
      <c r="K526" s="3"/>
      <c r="L526" s="3" t="str">
        <f t="shared" si="2"/>
        <v>27ADJPV3549B2ZC-313/24-25-26062024</v>
      </c>
      <c r="M526" s="8">
        <f t="shared" si="7"/>
        <v>12</v>
      </c>
      <c r="N526" s="3" t="str">
        <f t="shared" si="4"/>
        <v/>
      </c>
      <c r="O526" s="9" t="str">
        <f t="shared" si="5"/>
        <v/>
      </c>
      <c r="P526" s="3" t="str">
        <f t="shared" si="6"/>
        <v/>
      </c>
      <c r="Q526" s="3"/>
    </row>
    <row r="527" ht="15.75" customHeight="1">
      <c r="A527" s="4" t="s">
        <v>346</v>
      </c>
      <c r="B527" s="5" t="s">
        <v>347</v>
      </c>
      <c r="C527" s="5" t="s">
        <v>747</v>
      </c>
      <c r="D527" s="6">
        <v>45470.0</v>
      </c>
      <c r="E527" s="3"/>
      <c r="F527" s="3">
        <v>100.0</v>
      </c>
      <c r="G527" s="3">
        <v>0.0</v>
      </c>
      <c r="H527" s="3">
        <v>9.0</v>
      </c>
      <c r="I527" s="3">
        <v>9.0</v>
      </c>
      <c r="J527" s="7">
        <f t="shared" si="1"/>
        <v>18</v>
      </c>
      <c r="K527" s="3"/>
      <c r="L527" s="3" t="str">
        <f t="shared" si="2"/>
        <v>27AFGPK5440M1Z6-SS/01253/2024-25-27062024</v>
      </c>
      <c r="M527" s="8">
        <f t="shared" si="7"/>
        <v>18</v>
      </c>
      <c r="N527" s="3" t="str">
        <f t="shared" si="4"/>
        <v/>
      </c>
      <c r="O527" s="9" t="str">
        <f t="shared" si="5"/>
        <v/>
      </c>
      <c r="P527" s="3" t="str">
        <f t="shared" si="6"/>
        <v/>
      </c>
      <c r="Q527" s="3"/>
    </row>
    <row r="528" ht="15.75" customHeight="1">
      <c r="A528" s="4" t="s">
        <v>195</v>
      </c>
      <c r="B528" s="5" t="s">
        <v>196</v>
      </c>
      <c r="C528" s="5" t="s">
        <v>748</v>
      </c>
      <c r="D528" s="6">
        <v>45470.0</v>
      </c>
      <c r="E528" s="3"/>
      <c r="F528" s="3">
        <v>270.0</v>
      </c>
      <c r="G528" s="3">
        <v>0.0</v>
      </c>
      <c r="H528" s="3">
        <v>24.3</v>
      </c>
      <c r="I528" s="3">
        <v>24.3</v>
      </c>
      <c r="J528" s="7">
        <f t="shared" si="1"/>
        <v>48.6</v>
      </c>
      <c r="K528" s="3"/>
      <c r="L528" s="3" t="str">
        <f t="shared" si="2"/>
        <v>27ACIPK1680N1Z6-620/24-25-27062024</v>
      </c>
      <c r="M528" s="8">
        <f t="shared" si="7"/>
        <v>18</v>
      </c>
      <c r="N528" s="3" t="str">
        <f t="shared" si="4"/>
        <v/>
      </c>
      <c r="O528" s="9" t="str">
        <f t="shared" si="5"/>
        <v/>
      </c>
      <c r="P528" s="3" t="str">
        <f t="shared" si="6"/>
        <v/>
      </c>
      <c r="Q528" s="3"/>
    </row>
    <row r="529" ht="15.75" customHeight="1">
      <c r="A529" s="4" t="s">
        <v>50</v>
      </c>
      <c r="B529" s="5" t="s">
        <v>51</v>
      </c>
      <c r="C529" s="5" t="s">
        <v>749</v>
      </c>
      <c r="D529" s="6">
        <v>45470.0</v>
      </c>
      <c r="E529" s="3"/>
      <c r="F529" s="3">
        <v>16600.0</v>
      </c>
      <c r="G529" s="3">
        <v>0.0</v>
      </c>
      <c r="H529" s="3">
        <v>1494.0</v>
      </c>
      <c r="I529" s="3">
        <v>1494.0</v>
      </c>
      <c r="J529" s="7">
        <f t="shared" si="1"/>
        <v>2988</v>
      </c>
      <c r="K529" s="3"/>
      <c r="L529" s="3" t="str">
        <f t="shared" si="2"/>
        <v>27AAPPS9140J1Z0-1850/2024-25-27062024</v>
      </c>
      <c r="M529" s="8">
        <f t="shared" si="7"/>
        <v>18</v>
      </c>
      <c r="N529" s="3" t="str">
        <f t="shared" si="4"/>
        <v/>
      </c>
      <c r="O529" s="9" t="str">
        <f t="shared" si="5"/>
        <v/>
      </c>
      <c r="P529" s="3" t="str">
        <f t="shared" si="6"/>
        <v/>
      </c>
      <c r="Q529" s="3"/>
    </row>
    <row r="530" ht="15.75" customHeight="1">
      <c r="A530" s="4" t="s">
        <v>94</v>
      </c>
      <c r="B530" s="5" t="s">
        <v>95</v>
      </c>
      <c r="C530" s="5" t="s">
        <v>750</v>
      </c>
      <c r="D530" s="6">
        <v>45470.0</v>
      </c>
      <c r="E530" s="3"/>
      <c r="F530" s="3">
        <v>5638.04</v>
      </c>
      <c r="G530" s="3">
        <v>0.0</v>
      </c>
      <c r="H530" s="3">
        <v>496.98</v>
      </c>
      <c r="I530" s="3">
        <v>496.98</v>
      </c>
      <c r="J530" s="7">
        <f t="shared" si="1"/>
        <v>993.96</v>
      </c>
      <c r="K530" s="3"/>
      <c r="L530" s="3" t="str">
        <f t="shared" si="2"/>
        <v>27ABSPP9163G1ZY-53-27062024</v>
      </c>
      <c r="M530" s="8">
        <f t="shared" si="7"/>
        <v>17.62953083</v>
      </c>
      <c r="N530" s="3" t="str">
        <f t="shared" si="4"/>
        <v/>
      </c>
      <c r="O530" s="9" t="str">
        <f t="shared" si="5"/>
        <v/>
      </c>
      <c r="P530" s="3" t="str">
        <f t="shared" si="6"/>
        <v/>
      </c>
      <c r="Q530" s="3"/>
    </row>
    <row r="531" ht="15.75" customHeight="1">
      <c r="A531" s="4" t="s">
        <v>38</v>
      </c>
      <c r="B531" s="5" t="s">
        <v>39</v>
      </c>
      <c r="C531" s="5" t="s">
        <v>751</v>
      </c>
      <c r="D531" s="6">
        <v>45470.0</v>
      </c>
      <c r="E531" s="3"/>
      <c r="F531" s="3">
        <v>9380.0</v>
      </c>
      <c r="G531" s="3">
        <v>0.0</v>
      </c>
      <c r="H531" s="3">
        <v>563.0</v>
      </c>
      <c r="I531" s="3">
        <v>563.0</v>
      </c>
      <c r="J531" s="7">
        <f t="shared" si="1"/>
        <v>1126</v>
      </c>
      <c r="K531" s="3"/>
      <c r="L531" s="3" t="str">
        <f t="shared" si="2"/>
        <v>27AOVPP9192F2Z0-319-27062024</v>
      </c>
      <c r="M531" s="8">
        <f t="shared" si="7"/>
        <v>12.00426439</v>
      </c>
      <c r="N531" s="3" t="str">
        <f t="shared" si="4"/>
        <v/>
      </c>
      <c r="O531" s="9" t="str">
        <f t="shared" si="5"/>
        <v/>
      </c>
      <c r="P531" s="3" t="str">
        <f t="shared" si="6"/>
        <v/>
      </c>
      <c r="Q531" s="3"/>
    </row>
    <row r="532" ht="15.75" customHeight="1">
      <c r="A532" s="4" t="s">
        <v>41</v>
      </c>
      <c r="B532" s="5" t="s">
        <v>42</v>
      </c>
      <c r="C532" s="5" t="s">
        <v>752</v>
      </c>
      <c r="D532" s="6">
        <v>45470.0</v>
      </c>
      <c r="E532" s="3"/>
      <c r="F532" s="3">
        <v>682.5</v>
      </c>
      <c r="G532" s="3">
        <v>0.0</v>
      </c>
      <c r="H532" s="3">
        <v>61.43</v>
      </c>
      <c r="I532" s="3">
        <v>61.43</v>
      </c>
      <c r="J532" s="7">
        <f t="shared" si="1"/>
        <v>122.86</v>
      </c>
      <c r="K532" s="3"/>
      <c r="L532" s="3" t="str">
        <f t="shared" si="2"/>
        <v>27AACCA4768Q1Z0-628-27062024</v>
      </c>
      <c r="M532" s="8">
        <f t="shared" si="7"/>
        <v>18.0014652</v>
      </c>
      <c r="N532" s="3" t="str">
        <f t="shared" si="4"/>
        <v/>
      </c>
      <c r="O532" s="9" t="str">
        <f t="shared" si="5"/>
        <v/>
      </c>
      <c r="P532" s="3" t="str">
        <f t="shared" si="6"/>
        <v/>
      </c>
      <c r="Q532" s="3"/>
    </row>
    <row r="533" ht="15.75" customHeight="1">
      <c r="A533" s="4" t="s">
        <v>154</v>
      </c>
      <c r="B533" s="5" t="s">
        <v>155</v>
      </c>
      <c r="C533" s="5" t="s">
        <v>753</v>
      </c>
      <c r="D533" s="6">
        <v>45470.0</v>
      </c>
      <c r="E533" s="3"/>
      <c r="F533" s="3">
        <v>7922.2</v>
      </c>
      <c r="G533" s="3">
        <v>0.0</v>
      </c>
      <c r="H533" s="3">
        <v>713.0</v>
      </c>
      <c r="I533" s="3">
        <v>713.0</v>
      </c>
      <c r="J533" s="7">
        <f t="shared" si="1"/>
        <v>1426</v>
      </c>
      <c r="K533" s="3"/>
      <c r="L533" s="3" t="str">
        <f t="shared" si="2"/>
        <v>27AACFE6426A1ZW-250770-27062024</v>
      </c>
      <c r="M533" s="8">
        <f t="shared" si="7"/>
        <v>18.00005049</v>
      </c>
      <c r="N533" s="3" t="str">
        <f t="shared" si="4"/>
        <v/>
      </c>
      <c r="O533" s="9" t="str">
        <f t="shared" si="5"/>
        <v/>
      </c>
      <c r="P533" s="3" t="str">
        <f t="shared" si="6"/>
        <v/>
      </c>
      <c r="Q533" s="3"/>
    </row>
    <row r="534" ht="15.75" customHeight="1">
      <c r="A534" s="4" t="s">
        <v>154</v>
      </c>
      <c r="B534" s="5" t="s">
        <v>155</v>
      </c>
      <c r="C534" s="5" t="s">
        <v>754</v>
      </c>
      <c r="D534" s="6">
        <v>45470.0</v>
      </c>
      <c r="E534" s="3"/>
      <c r="F534" s="3">
        <v>7922.2</v>
      </c>
      <c r="G534" s="3">
        <v>0.0</v>
      </c>
      <c r="H534" s="3">
        <v>713.0</v>
      </c>
      <c r="I534" s="3">
        <v>713.0</v>
      </c>
      <c r="J534" s="7">
        <f t="shared" si="1"/>
        <v>1426</v>
      </c>
      <c r="K534" s="3"/>
      <c r="L534" s="3" t="str">
        <f t="shared" si="2"/>
        <v>27AACFE6426A1ZW-250771-27062024</v>
      </c>
      <c r="M534" s="8">
        <f t="shared" si="7"/>
        <v>18.00005049</v>
      </c>
      <c r="N534" s="3" t="str">
        <f t="shared" si="4"/>
        <v/>
      </c>
      <c r="O534" s="9" t="str">
        <f t="shared" si="5"/>
        <v/>
      </c>
      <c r="P534" s="3" t="str">
        <f t="shared" si="6"/>
        <v/>
      </c>
      <c r="Q534" s="3"/>
    </row>
    <row r="535" ht="15.75" customHeight="1">
      <c r="A535" s="4" t="s">
        <v>154</v>
      </c>
      <c r="B535" s="5" t="s">
        <v>155</v>
      </c>
      <c r="C535" s="5" t="s">
        <v>755</v>
      </c>
      <c r="D535" s="6">
        <v>45470.0</v>
      </c>
      <c r="E535" s="3"/>
      <c r="F535" s="3">
        <v>7922.2</v>
      </c>
      <c r="G535" s="3">
        <v>0.0</v>
      </c>
      <c r="H535" s="3">
        <v>713.0</v>
      </c>
      <c r="I535" s="3">
        <v>713.0</v>
      </c>
      <c r="J535" s="7">
        <f t="shared" si="1"/>
        <v>1426</v>
      </c>
      <c r="K535" s="3"/>
      <c r="L535" s="3" t="str">
        <f t="shared" si="2"/>
        <v>27AACFE6426A1ZW-250774-27062024</v>
      </c>
      <c r="M535" s="8">
        <f t="shared" si="7"/>
        <v>18.00005049</v>
      </c>
      <c r="N535" s="3" t="str">
        <f t="shared" si="4"/>
        <v/>
      </c>
      <c r="O535" s="9" t="str">
        <f t="shared" si="5"/>
        <v/>
      </c>
      <c r="P535" s="3" t="str">
        <f t="shared" si="6"/>
        <v/>
      </c>
      <c r="Q535" s="3"/>
    </row>
    <row r="536" ht="15.75" customHeight="1">
      <c r="A536" s="4" t="s">
        <v>73</v>
      </c>
      <c r="B536" s="5" t="s">
        <v>74</v>
      </c>
      <c r="C536" s="5" t="s">
        <v>756</v>
      </c>
      <c r="D536" s="6">
        <v>45470.0</v>
      </c>
      <c r="E536" s="3"/>
      <c r="F536" s="3">
        <v>6600.0</v>
      </c>
      <c r="G536" s="3">
        <v>0.0</v>
      </c>
      <c r="H536" s="3">
        <v>594.0</v>
      </c>
      <c r="I536" s="3">
        <v>594.0</v>
      </c>
      <c r="J536" s="7">
        <f t="shared" si="1"/>
        <v>1188</v>
      </c>
      <c r="K536" s="3"/>
      <c r="L536" s="3" t="str">
        <f t="shared" si="2"/>
        <v>27ADXFS5568H1Z4-SRE/2776/24-25-27062024</v>
      </c>
      <c r="M536" s="8">
        <f t="shared" si="7"/>
        <v>18</v>
      </c>
      <c r="N536" s="3" t="str">
        <f t="shared" si="4"/>
        <v/>
      </c>
      <c r="O536" s="9" t="str">
        <f t="shared" si="5"/>
        <v/>
      </c>
      <c r="P536" s="3" t="str">
        <f t="shared" si="6"/>
        <v/>
      </c>
      <c r="Q536" s="3"/>
    </row>
    <row r="537" ht="15.75" customHeight="1">
      <c r="A537" s="4" t="s">
        <v>165</v>
      </c>
      <c r="B537" s="5" t="s">
        <v>166</v>
      </c>
      <c r="C537" s="5" t="s">
        <v>757</v>
      </c>
      <c r="D537" s="6">
        <v>45470.0</v>
      </c>
      <c r="E537" s="3"/>
      <c r="F537" s="3">
        <v>1305.0</v>
      </c>
      <c r="G537" s="3">
        <v>0.0</v>
      </c>
      <c r="H537" s="3">
        <v>78.3</v>
      </c>
      <c r="I537" s="3">
        <v>78.3</v>
      </c>
      <c r="J537" s="7">
        <f t="shared" si="1"/>
        <v>156.6</v>
      </c>
      <c r="K537" s="3"/>
      <c r="L537" s="3" t="str">
        <f t="shared" si="2"/>
        <v>27AAPPH6742M2Z2-ME/1419/2024-25-27062024</v>
      </c>
      <c r="M537" s="8">
        <f t="shared" si="7"/>
        <v>12</v>
      </c>
      <c r="N537" s="3" t="str">
        <f t="shared" si="4"/>
        <v/>
      </c>
      <c r="O537" s="9" t="str">
        <f t="shared" si="5"/>
        <v/>
      </c>
      <c r="P537" s="3" t="str">
        <f t="shared" si="6"/>
        <v/>
      </c>
      <c r="Q537" s="3"/>
    </row>
    <row r="538" ht="15.75" customHeight="1">
      <c r="A538" s="4" t="s">
        <v>263</v>
      </c>
      <c r="B538" s="5" t="s">
        <v>264</v>
      </c>
      <c r="C538" s="5" t="s">
        <v>758</v>
      </c>
      <c r="D538" s="6">
        <v>45470.0</v>
      </c>
      <c r="E538" s="3"/>
      <c r="F538" s="3">
        <v>999.0</v>
      </c>
      <c r="G538" s="3">
        <v>0.0</v>
      </c>
      <c r="H538" s="3">
        <v>89.91</v>
      </c>
      <c r="I538" s="3">
        <v>89.91</v>
      </c>
      <c r="J538" s="7">
        <f t="shared" si="1"/>
        <v>179.82</v>
      </c>
      <c r="K538" s="3"/>
      <c r="L538" s="3" t="str">
        <f t="shared" si="2"/>
        <v>27AAACB2894G1ZN-HT2527I003134977-27062024</v>
      </c>
      <c r="M538" s="8">
        <f t="shared" si="7"/>
        <v>18</v>
      </c>
      <c r="N538" s="3" t="str">
        <f t="shared" si="4"/>
        <v/>
      </c>
      <c r="O538" s="9" t="str">
        <f t="shared" si="5"/>
        <v/>
      </c>
      <c r="P538" s="3" t="str">
        <f t="shared" si="6"/>
        <v/>
      </c>
      <c r="Q538" s="3"/>
    </row>
    <row r="539" ht="15.75" customHeight="1">
      <c r="A539" s="4" t="s">
        <v>103</v>
      </c>
      <c r="B539" s="5" t="s">
        <v>104</v>
      </c>
      <c r="C539" s="5" t="s">
        <v>759</v>
      </c>
      <c r="D539" s="6">
        <v>45470.0</v>
      </c>
      <c r="E539" s="3"/>
      <c r="F539" s="3">
        <v>4300.0</v>
      </c>
      <c r="G539" s="3">
        <v>0.0</v>
      </c>
      <c r="H539" s="3">
        <v>0.0</v>
      </c>
      <c r="I539" s="3">
        <v>0.0</v>
      </c>
      <c r="J539" s="7">
        <f t="shared" si="1"/>
        <v>0</v>
      </c>
      <c r="K539" s="3"/>
      <c r="L539" s="3" t="str">
        <f t="shared" si="2"/>
        <v>27AAACT7966R1ZB-648010160-27062024</v>
      </c>
      <c r="M539" s="8">
        <f t="shared" si="7"/>
        <v>0</v>
      </c>
      <c r="N539" s="3" t="str">
        <f t="shared" si="4"/>
        <v/>
      </c>
      <c r="O539" s="9" t="str">
        <f t="shared" si="5"/>
        <v/>
      </c>
      <c r="P539" s="3" t="str">
        <f t="shared" si="6"/>
        <v/>
      </c>
      <c r="Q539" s="3"/>
    </row>
    <row r="540" ht="15.75" customHeight="1">
      <c r="A540" s="4" t="s">
        <v>459</v>
      </c>
      <c r="B540" s="5" t="s">
        <v>460</v>
      </c>
      <c r="C540" s="5" t="s">
        <v>760</v>
      </c>
      <c r="D540" s="6">
        <v>45471.0</v>
      </c>
      <c r="E540" s="3"/>
      <c r="F540" s="3">
        <v>131.13</v>
      </c>
      <c r="G540" s="3">
        <v>0.0</v>
      </c>
      <c r="H540" s="3">
        <v>11.81</v>
      </c>
      <c r="I540" s="3">
        <v>11.81</v>
      </c>
      <c r="J540" s="7">
        <f t="shared" si="1"/>
        <v>23.62</v>
      </c>
      <c r="K540" s="3"/>
      <c r="L540" s="3" t="str">
        <f t="shared" si="2"/>
        <v>27AHHPD3176G1ZG-24/25-1906-28062024</v>
      </c>
      <c r="M540" s="8">
        <f t="shared" si="7"/>
        <v>18.01265919</v>
      </c>
      <c r="N540" s="3" t="str">
        <f t="shared" si="4"/>
        <v/>
      </c>
      <c r="O540" s="9" t="str">
        <f t="shared" si="5"/>
        <v/>
      </c>
      <c r="P540" s="3" t="str">
        <f t="shared" si="6"/>
        <v/>
      </c>
      <c r="Q540" s="3"/>
    </row>
    <row r="541" ht="15.75" customHeight="1">
      <c r="A541" s="4" t="s">
        <v>97</v>
      </c>
      <c r="B541" s="5" t="s">
        <v>98</v>
      </c>
      <c r="C541" s="5" t="s">
        <v>761</v>
      </c>
      <c r="D541" s="6">
        <v>45471.0</v>
      </c>
      <c r="E541" s="3"/>
      <c r="F541" s="3">
        <v>100.0</v>
      </c>
      <c r="G541" s="3">
        <v>0.0</v>
      </c>
      <c r="H541" s="3">
        <v>9.0</v>
      </c>
      <c r="I541" s="3">
        <v>9.0</v>
      </c>
      <c r="J541" s="7">
        <f t="shared" si="1"/>
        <v>18</v>
      </c>
      <c r="K541" s="3"/>
      <c r="L541" s="3" t="str">
        <f t="shared" si="2"/>
        <v>27CBSPS4453E1Z6-2024-25/JUN352-28062024</v>
      </c>
      <c r="M541" s="8">
        <f t="shared" si="7"/>
        <v>18</v>
      </c>
      <c r="N541" s="3" t="str">
        <f t="shared" si="4"/>
        <v/>
      </c>
      <c r="O541" s="9" t="str">
        <f t="shared" si="5"/>
        <v/>
      </c>
      <c r="P541" s="3" t="str">
        <f t="shared" si="6"/>
        <v/>
      </c>
      <c r="Q541" s="3"/>
    </row>
    <row r="542" ht="15.75" customHeight="1">
      <c r="A542" s="4" t="s">
        <v>278</v>
      </c>
      <c r="B542" s="5" t="s">
        <v>279</v>
      </c>
      <c r="C542" s="5" t="s">
        <v>762</v>
      </c>
      <c r="D542" s="6">
        <v>45472.0</v>
      </c>
      <c r="E542" s="3"/>
      <c r="F542" s="3">
        <v>2340.0</v>
      </c>
      <c r="G542" s="3">
        <v>0.0</v>
      </c>
      <c r="H542" s="3">
        <v>210.6</v>
      </c>
      <c r="I542" s="3">
        <v>210.6</v>
      </c>
      <c r="J542" s="7">
        <f t="shared" si="1"/>
        <v>421.2</v>
      </c>
      <c r="K542" s="3"/>
      <c r="L542" s="3" t="str">
        <f t="shared" si="2"/>
        <v>27AACCT8282C1Z9-1091/2024-25-29062024</v>
      </c>
      <c r="M542" s="8">
        <f t="shared" si="7"/>
        <v>18</v>
      </c>
      <c r="N542" s="3" t="str">
        <f t="shared" si="4"/>
        <v/>
      </c>
      <c r="O542" s="9" t="str">
        <f t="shared" si="5"/>
        <v/>
      </c>
      <c r="P542" s="3" t="str">
        <f t="shared" si="6"/>
        <v/>
      </c>
      <c r="Q542" s="3"/>
    </row>
    <row r="543" ht="15.75" customHeight="1">
      <c r="A543" s="4" t="s">
        <v>179</v>
      </c>
      <c r="B543" s="5" t="s">
        <v>180</v>
      </c>
      <c r="C543" s="5" t="s">
        <v>763</v>
      </c>
      <c r="D543" s="6">
        <v>45472.0</v>
      </c>
      <c r="E543" s="3"/>
      <c r="F543" s="3">
        <v>75573.49</v>
      </c>
      <c r="G543" s="3">
        <v>0.0</v>
      </c>
      <c r="H543" s="3">
        <v>6802.0</v>
      </c>
      <c r="I543" s="3">
        <v>6802.0</v>
      </c>
      <c r="J543" s="7">
        <f t="shared" si="1"/>
        <v>13604</v>
      </c>
      <c r="K543" s="3"/>
      <c r="L543" s="3" t="str">
        <f t="shared" si="2"/>
        <v>27AAACC3840K1ZP-374137440-29062024</v>
      </c>
      <c r="M543" s="8">
        <f t="shared" si="7"/>
        <v>18.00102126</v>
      </c>
      <c r="N543" s="3" t="str">
        <f t="shared" si="4"/>
        <v/>
      </c>
      <c r="O543" s="9" t="str">
        <f t="shared" si="5"/>
        <v/>
      </c>
      <c r="P543" s="3" t="str">
        <f t="shared" si="6"/>
        <v/>
      </c>
      <c r="Q543" s="3"/>
    </row>
    <row r="544" ht="15.75" customHeight="1">
      <c r="A544" s="4" t="s">
        <v>179</v>
      </c>
      <c r="B544" s="5" t="s">
        <v>180</v>
      </c>
      <c r="C544" s="5" t="s">
        <v>764</v>
      </c>
      <c r="D544" s="6">
        <v>45472.0</v>
      </c>
      <c r="E544" s="3"/>
      <c r="F544" s="3">
        <v>194470.86</v>
      </c>
      <c r="G544" s="3">
        <v>0.0</v>
      </c>
      <c r="H544" s="3">
        <v>17502.0</v>
      </c>
      <c r="I544" s="3">
        <v>17502.0</v>
      </c>
      <c r="J544" s="7">
        <f t="shared" si="1"/>
        <v>35004</v>
      </c>
      <c r="K544" s="3"/>
      <c r="L544" s="3" t="str">
        <f t="shared" si="2"/>
        <v>27AAACC3840K1ZP-374137441-29062024</v>
      </c>
      <c r="M544" s="8">
        <f t="shared" si="7"/>
        <v>17.99961187</v>
      </c>
      <c r="N544" s="3" t="str">
        <f t="shared" si="4"/>
        <v/>
      </c>
      <c r="O544" s="9" t="str">
        <f t="shared" si="5"/>
        <v/>
      </c>
      <c r="P544" s="3" t="str">
        <f t="shared" si="6"/>
        <v/>
      </c>
      <c r="Q544" s="3"/>
    </row>
    <row r="545" ht="15.75" customHeight="1">
      <c r="A545" s="4" t="s">
        <v>179</v>
      </c>
      <c r="B545" s="5" t="s">
        <v>180</v>
      </c>
      <c r="C545" s="5" t="s">
        <v>765</v>
      </c>
      <c r="D545" s="6">
        <v>45472.0</v>
      </c>
      <c r="E545" s="3"/>
      <c r="F545" s="3">
        <v>37786.75</v>
      </c>
      <c r="G545" s="3">
        <v>0.0</v>
      </c>
      <c r="H545" s="3">
        <v>3401.0</v>
      </c>
      <c r="I545" s="3">
        <v>3401.0</v>
      </c>
      <c r="J545" s="7">
        <f t="shared" si="1"/>
        <v>6802</v>
      </c>
      <c r="K545" s="3"/>
      <c r="L545" s="3" t="str">
        <f t="shared" si="2"/>
        <v>27AAACC3840K1ZP-374137442-29062024</v>
      </c>
      <c r="M545" s="8">
        <f t="shared" si="7"/>
        <v>18.00101888</v>
      </c>
      <c r="N545" s="3" t="str">
        <f t="shared" si="4"/>
        <v/>
      </c>
      <c r="O545" s="9" t="str">
        <f t="shared" si="5"/>
        <v/>
      </c>
      <c r="P545" s="3" t="str">
        <f t="shared" si="6"/>
        <v/>
      </c>
      <c r="Q545" s="3"/>
    </row>
    <row r="546" ht="15.75" customHeight="1">
      <c r="A546" s="4" t="s">
        <v>117</v>
      </c>
      <c r="B546" s="5" t="s">
        <v>118</v>
      </c>
      <c r="C546" s="5" t="s">
        <v>766</v>
      </c>
      <c r="D546" s="6">
        <v>45472.0</v>
      </c>
      <c r="E546" s="3"/>
      <c r="F546" s="3">
        <v>6820.0</v>
      </c>
      <c r="G546" s="3">
        <v>0.0</v>
      </c>
      <c r="H546" s="3">
        <v>409.2</v>
      </c>
      <c r="I546" s="3">
        <v>409.2</v>
      </c>
      <c r="J546" s="7">
        <f t="shared" si="1"/>
        <v>818.4</v>
      </c>
      <c r="K546" s="3"/>
      <c r="L546" s="3" t="str">
        <f t="shared" si="2"/>
        <v>27AAGPS6107E1ZR-24-25/131-29062024</v>
      </c>
      <c r="M546" s="8">
        <f t="shared" si="7"/>
        <v>12</v>
      </c>
      <c r="N546" s="3" t="str">
        <f t="shared" si="4"/>
        <v/>
      </c>
      <c r="O546" s="9" t="str">
        <f t="shared" si="5"/>
        <v/>
      </c>
      <c r="P546" s="3" t="str">
        <f t="shared" si="6"/>
        <v/>
      </c>
      <c r="Q546" s="3"/>
    </row>
    <row r="547" ht="15.75" customHeight="1">
      <c r="A547" s="4" t="s">
        <v>41</v>
      </c>
      <c r="B547" s="5" t="s">
        <v>42</v>
      </c>
      <c r="C547" s="5" t="s">
        <v>767</v>
      </c>
      <c r="D547" s="6">
        <v>45472.0</v>
      </c>
      <c r="E547" s="3"/>
      <c r="F547" s="3">
        <v>2160.0</v>
      </c>
      <c r="G547" s="3">
        <v>0.0</v>
      </c>
      <c r="H547" s="3">
        <v>194.4</v>
      </c>
      <c r="I547" s="3">
        <v>194.4</v>
      </c>
      <c r="J547" s="7">
        <f t="shared" si="1"/>
        <v>388.8</v>
      </c>
      <c r="K547" s="3"/>
      <c r="L547" s="3" t="str">
        <f t="shared" si="2"/>
        <v>27AACCA4768Q1Z0-632-29062024</v>
      </c>
      <c r="M547" s="8">
        <f t="shared" si="7"/>
        <v>18</v>
      </c>
      <c r="N547" s="3" t="str">
        <f t="shared" si="4"/>
        <v/>
      </c>
      <c r="O547" s="9" t="str">
        <f t="shared" si="5"/>
        <v/>
      </c>
      <c r="P547" s="3" t="str">
        <f t="shared" si="6"/>
        <v/>
      </c>
      <c r="Q547" s="3"/>
    </row>
    <row r="548" ht="15.75" customHeight="1">
      <c r="A548" s="4" t="s">
        <v>38</v>
      </c>
      <c r="B548" s="5" t="s">
        <v>39</v>
      </c>
      <c r="C548" s="5" t="s">
        <v>768</v>
      </c>
      <c r="D548" s="6">
        <v>45472.0</v>
      </c>
      <c r="E548" s="3"/>
      <c r="F548" s="3">
        <v>1400.0</v>
      </c>
      <c r="G548" s="3">
        <v>0.0</v>
      </c>
      <c r="H548" s="3">
        <v>84.0</v>
      </c>
      <c r="I548" s="3">
        <v>84.0</v>
      </c>
      <c r="J548" s="7">
        <f t="shared" si="1"/>
        <v>168</v>
      </c>
      <c r="K548" s="3"/>
      <c r="L548" s="3" t="str">
        <f t="shared" si="2"/>
        <v>27AOVPP9192F2Z0-320-29062024</v>
      </c>
      <c r="M548" s="8">
        <f t="shared" si="7"/>
        <v>12</v>
      </c>
      <c r="N548" s="3" t="str">
        <f t="shared" si="4"/>
        <v/>
      </c>
      <c r="O548" s="9" t="str">
        <f t="shared" si="5"/>
        <v/>
      </c>
      <c r="P548" s="3" t="str">
        <f t="shared" si="6"/>
        <v/>
      </c>
      <c r="Q548" s="3"/>
    </row>
    <row r="549" ht="15.75" customHeight="1">
      <c r="A549" s="4" t="s">
        <v>295</v>
      </c>
      <c r="B549" s="5" t="s">
        <v>296</v>
      </c>
      <c r="C549" s="5" t="s">
        <v>769</v>
      </c>
      <c r="D549" s="6">
        <v>45472.0</v>
      </c>
      <c r="E549" s="3"/>
      <c r="F549" s="3">
        <v>510.0</v>
      </c>
      <c r="G549" s="3">
        <v>0.0</v>
      </c>
      <c r="H549" s="3">
        <v>45.9</v>
      </c>
      <c r="I549" s="3">
        <v>45.9</v>
      </c>
      <c r="J549" s="7">
        <f t="shared" si="1"/>
        <v>91.8</v>
      </c>
      <c r="K549" s="3"/>
      <c r="L549" s="3" t="str">
        <f t="shared" si="2"/>
        <v>27AAVPM4700E1ZN-PCT/97-29062024</v>
      </c>
      <c r="M549" s="8">
        <f t="shared" si="7"/>
        <v>18</v>
      </c>
      <c r="N549" s="3" t="str">
        <f t="shared" si="4"/>
        <v/>
      </c>
      <c r="O549" s="9" t="str">
        <f t="shared" si="5"/>
        <v/>
      </c>
      <c r="P549" s="3" t="str">
        <f t="shared" si="6"/>
        <v/>
      </c>
      <c r="Q549" s="3"/>
    </row>
    <row r="550" ht="15.75" customHeight="1">
      <c r="A550" s="4" t="s">
        <v>41</v>
      </c>
      <c r="B550" s="5" t="s">
        <v>42</v>
      </c>
      <c r="C550" s="5" t="s">
        <v>770</v>
      </c>
      <c r="D550" s="6">
        <v>45473.0</v>
      </c>
      <c r="E550" s="3"/>
      <c r="F550" s="3">
        <v>682.5</v>
      </c>
      <c r="G550" s="3">
        <v>0.0</v>
      </c>
      <c r="H550" s="3">
        <v>61.43</v>
      </c>
      <c r="I550" s="3">
        <v>61.43</v>
      </c>
      <c r="J550" s="7">
        <f t="shared" si="1"/>
        <v>122.86</v>
      </c>
      <c r="K550" s="3"/>
      <c r="L550" s="3" t="str">
        <f t="shared" si="2"/>
        <v>27AACCA4768Q1Z0-645-30062024</v>
      </c>
      <c r="M550" s="8">
        <f t="shared" si="7"/>
        <v>18.0014652</v>
      </c>
      <c r="N550" s="3" t="str">
        <f t="shared" si="4"/>
        <v/>
      </c>
      <c r="O550" s="9" t="str">
        <f t="shared" si="5"/>
        <v/>
      </c>
      <c r="P550" s="3" t="str">
        <f t="shared" si="6"/>
        <v/>
      </c>
      <c r="Q550" s="3"/>
    </row>
    <row r="551" ht="15.75" customHeight="1">
      <c r="A551" s="4" t="s">
        <v>287</v>
      </c>
      <c r="B551" s="5" t="s">
        <v>288</v>
      </c>
      <c r="C551" s="5" t="s">
        <v>771</v>
      </c>
      <c r="D551" s="6">
        <v>45473.0</v>
      </c>
      <c r="E551" s="3"/>
      <c r="F551" s="3">
        <v>27600.0</v>
      </c>
      <c r="G551" s="3">
        <v>0.0</v>
      </c>
      <c r="H551" s="3">
        <v>2484.0</v>
      </c>
      <c r="I551" s="3">
        <v>2484.0</v>
      </c>
      <c r="J551" s="7">
        <f t="shared" si="1"/>
        <v>4968</v>
      </c>
      <c r="K551" s="3"/>
      <c r="L551" s="3" t="str">
        <f t="shared" si="2"/>
        <v>27AATFG0563F1Z9-G-0319/24-30062024</v>
      </c>
      <c r="M551" s="8">
        <f t="shared" si="7"/>
        <v>18</v>
      </c>
      <c r="N551" s="3" t="str">
        <f t="shared" si="4"/>
        <v/>
      </c>
      <c r="O551" s="9" t="str">
        <f t="shared" si="5"/>
        <v/>
      </c>
      <c r="P551" s="3" t="str">
        <f t="shared" si="6"/>
        <v/>
      </c>
      <c r="Q551" s="3"/>
    </row>
    <row r="552" ht="15.75" customHeight="1">
      <c r="A552" s="4" t="s">
        <v>73</v>
      </c>
      <c r="B552" s="5" t="s">
        <v>74</v>
      </c>
      <c r="C552" s="5" t="s">
        <v>772</v>
      </c>
      <c r="D552" s="6">
        <v>45473.0</v>
      </c>
      <c r="E552" s="3"/>
      <c r="F552" s="3">
        <v>2100.0</v>
      </c>
      <c r="G552" s="3">
        <v>0.0</v>
      </c>
      <c r="H552" s="3">
        <v>189.0</v>
      </c>
      <c r="I552" s="3">
        <v>189.0</v>
      </c>
      <c r="J552" s="7">
        <f t="shared" si="1"/>
        <v>378</v>
      </c>
      <c r="K552" s="3"/>
      <c r="L552" s="3" t="str">
        <f t="shared" si="2"/>
        <v>27ADXFS5568H1Z4-SRE/2867/24-25-30062024</v>
      </c>
      <c r="M552" s="8">
        <f t="shared" si="7"/>
        <v>18</v>
      </c>
      <c r="N552" s="3" t="str">
        <f t="shared" si="4"/>
        <v/>
      </c>
      <c r="O552" s="9" t="str">
        <f t="shared" si="5"/>
        <v/>
      </c>
      <c r="P552" s="3" t="str">
        <f t="shared" si="6"/>
        <v/>
      </c>
      <c r="Q552" s="3"/>
    </row>
    <row r="553" ht="15.75" customHeight="1">
      <c r="A553" s="4" t="s">
        <v>522</v>
      </c>
      <c r="B553" s="5" t="s">
        <v>523</v>
      </c>
      <c r="C553" s="5" t="s">
        <v>773</v>
      </c>
      <c r="D553" s="6">
        <v>45473.0</v>
      </c>
      <c r="E553" s="3"/>
      <c r="F553" s="3">
        <v>2100.0</v>
      </c>
      <c r="G553" s="3">
        <v>0.0</v>
      </c>
      <c r="H553" s="3">
        <v>126.0</v>
      </c>
      <c r="I553" s="3">
        <v>126.0</v>
      </c>
      <c r="J553" s="7">
        <f t="shared" si="1"/>
        <v>252</v>
      </c>
      <c r="K553" s="3"/>
      <c r="L553" s="3" t="str">
        <f t="shared" si="2"/>
        <v>27AOEPT1552N1ZH-062/24-25-30062024</v>
      </c>
      <c r="M553" s="8">
        <f t="shared" si="7"/>
        <v>12</v>
      </c>
      <c r="N553" s="3" t="str">
        <f t="shared" si="4"/>
        <v/>
      </c>
      <c r="O553" s="9" t="str">
        <f t="shared" si="5"/>
        <v/>
      </c>
      <c r="P553" s="3" t="str">
        <f t="shared" si="6"/>
        <v/>
      </c>
      <c r="Q553" s="3"/>
    </row>
    <row r="554" ht="15.75" customHeight="1">
      <c r="A554" s="4" t="s">
        <v>774</v>
      </c>
      <c r="B554" s="5" t="s">
        <v>775</v>
      </c>
      <c r="C554" s="5" t="s">
        <v>776</v>
      </c>
      <c r="D554" s="6">
        <v>45473.0</v>
      </c>
      <c r="E554" s="3"/>
      <c r="F554" s="3">
        <v>422.04</v>
      </c>
      <c r="G554" s="3">
        <v>0.0</v>
      </c>
      <c r="H554" s="3">
        <v>37.98</v>
      </c>
      <c r="I554" s="3">
        <v>37.98</v>
      </c>
      <c r="J554" s="7">
        <f t="shared" si="1"/>
        <v>75.96</v>
      </c>
      <c r="K554" s="3"/>
      <c r="L554" s="3" t="str">
        <f t="shared" si="2"/>
        <v>27AALCA0171E1ZZ-FBOA-28073-30062024</v>
      </c>
      <c r="M554" s="8">
        <f t="shared" si="7"/>
        <v>17.998294</v>
      </c>
      <c r="N554" s="3" t="str">
        <f t="shared" si="4"/>
        <v/>
      </c>
      <c r="O554" s="9" t="str">
        <f t="shared" si="5"/>
        <v/>
      </c>
      <c r="P554" s="3" t="str">
        <f t="shared" si="6"/>
        <v/>
      </c>
      <c r="Q554" s="3"/>
    </row>
    <row r="555" ht="15.75" customHeight="1">
      <c r="A555" s="4" t="s">
        <v>777</v>
      </c>
      <c r="B555" s="5" t="s">
        <v>778</v>
      </c>
      <c r="C555" s="5" t="s">
        <v>779</v>
      </c>
      <c r="D555" s="6">
        <v>45473.0</v>
      </c>
      <c r="E555" s="3"/>
      <c r="F555" s="3">
        <v>2871.19</v>
      </c>
      <c r="G555" s="3">
        <v>516.81</v>
      </c>
      <c r="H555" s="3">
        <v>0.0</v>
      </c>
      <c r="I555" s="3">
        <v>0.0</v>
      </c>
      <c r="J555" s="7">
        <f t="shared" si="1"/>
        <v>516.81</v>
      </c>
      <c r="K555" s="3"/>
      <c r="L555" s="3" t="str">
        <f t="shared" si="2"/>
        <v>07BLQPB1321K1Z9-DEX8-2145-30062024</v>
      </c>
      <c r="M555" s="8">
        <f t="shared" si="7"/>
        <v>17.99985372</v>
      </c>
      <c r="N555" s="3" t="str">
        <f t="shared" si="4"/>
        <v/>
      </c>
      <c r="O555" s="9" t="str">
        <f t="shared" si="5"/>
        <v/>
      </c>
      <c r="P555" s="3" t="str">
        <f t="shared" si="6"/>
        <v/>
      </c>
      <c r="Q555" s="3"/>
    </row>
    <row r="556" ht="15.75" customHeight="1">
      <c r="A556" s="4" t="s">
        <v>780</v>
      </c>
      <c r="B556" s="5"/>
      <c r="C556" s="5" t="s">
        <v>781</v>
      </c>
      <c r="D556" s="6">
        <v>45473.0</v>
      </c>
      <c r="E556" s="3"/>
      <c r="F556" s="3">
        <v>399.0</v>
      </c>
      <c r="G556" s="3">
        <v>0.0</v>
      </c>
      <c r="H556" s="3">
        <v>0.0</v>
      </c>
      <c r="I556" s="3">
        <v>0.0</v>
      </c>
      <c r="J556" s="7">
        <f t="shared" si="1"/>
        <v>0</v>
      </c>
      <c r="K556" s="3"/>
      <c r="L556" s="3" t="str">
        <f t="shared" si="2"/>
        <v/>
      </c>
      <c r="M556" s="8">
        <f t="shared" si="7"/>
        <v>0</v>
      </c>
      <c r="N556" s="3" t="str">
        <f t="shared" si="4"/>
        <v>GSTIN not entered</v>
      </c>
      <c r="O556" s="9" t="str">
        <f t="shared" si="5"/>
        <v/>
      </c>
      <c r="P556" s="3" t="str">
        <f t="shared" si="6"/>
        <v/>
      </c>
      <c r="Q556" s="3"/>
    </row>
    <row r="557" ht="15.75" customHeight="1">
      <c r="A557" s="4" t="s">
        <v>782</v>
      </c>
      <c r="B557" s="5" t="s">
        <v>783</v>
      </c>
      <c r="C557" s="5" t="s">
        <v>784</v>
      </c>
      <c r="D557" s="6">
        <v>45473.0</v>
      </c>
      <c r="E557" s="3"/>
      <c r="F557" s="3">
        <v>349.0</v>
      </c>
      <c r="G557" s="3">
        <v>0.0</v>
      </c>
      <c r="H557" s="3">
        <v>0.0</v>
      </c>
      <c r="I557" s="3">
        <v>0.0</v>
      </c>
      <c r="J557" s="7">
        <f t="shared" si="1"/>
        <v>0</v>
      </c>
      <c r="K557" s="3"/>
      <c r="L557" s="3" t="str">
        <f t="shared" si="2"/>
        <v>06CFBPM9346B1ZL-DEL5-4057-30062024</v>
      </c>
      <c r="M557" s="8">
        <f t="shared" si="7"/>
        <v>0</v>
      </c>
      <c r="N557" s="3" t="str">
        <f t="shared" si="4"/>
        <v/>
      </c>
      <c r="O557" s="9" t="str">
        <f t="shared" si="5"/>
        <v/>
      </c>
      <c r="P557" s="3" t="str">
        <f t="shared" si="6"/>
        <v/>
      </c>
      <c r="Q557" s="3"/>
    </row>
    <row r="558" ht="15.75" customHeight="1">
      <c r="A558" s="4" t="s">
        <v>785</v>
      </c>
      <c r="B558" s="5" t="s">
        <v>786</v>
      </c>
      <c r="C558" s="5" t="s">
        <v>787</v>
      </c>
      <c r="D558" s="6">
        <v>45473.0</v>
      </c>
      <c r="E558" s="3"/>
      <c r="F558" s="3">
        <v>1080.0</v>
      </c>
      <c r="G558" s="3">
        <v>0.0</v>
      </c>
      <c r="H558" s="3">
        <v>0.0</v>
      </c>
      <c r="I558" s="3">
        <v>0.0</v>
      </c>
      <c r="J558" s="7">
        <f t="shared" si="1"/>
        <v>0</v>
      </c>
      <c r="K558" s="3"/>
      <c r="L558" s="3" t="str">
        <f t="shared" si="2"/>
        <v>07AIFPK7371R1ZI-IN-1782-30062024</v>
      </c>
      <c r="M558" s="8">
        <f t="shared" si="7"/>
        <v>0</v>
      </c>
      <c r="N558" s="3" t="str">
        <f t="shared" si="4"/>
        <v/>
      </c>
      <c r="O558" s="9" t="str">
        <f t="shared" si="5"/>
        <v/>
      </c>
      <c r="P558" s="3" t="str">
        <f t="shared" si="6"/>
        <v/>
      </c>
      <c r="Q558" s="3"/>
    </row>
    <row r="559" ht="15.75" customHeight="1">
      <c r="A559" s="4" t="s">
        <v>298</v>
      </c>
      <c r="B559" s="5" t="s">
        <v>299</v>
      </c>
      <c r="C559" s="5" t="s">
        <v>788</v>
      </c>
      <c r="D559" s="6">
        <v>45473.0</v>
      </c>
      <c r="E559" s="3"/>
      <c r="F559" s="3">
        <v>488.4</v>
      </c>
      <c r="G559" s="3">
        <v>0.0</v>
      </c>
      <c r="H559" s="3">
        <v>43.96</v>
      </c>
      <c r="I559" s="3">
        <v>43.96</v>
      </c>
      <c r="J559" s="7">
        <f t="shared" si="1"/>
        <v>87.92</v>
      </c>
      <c r="K559" s="3"/>
      <c r="L559" s="3" t="str">
        <f t="shared" si="2"/>
        <v>27AFGPS1163R1ZS-WAG/00210/2024-30062024</v>
      </c>
      <c r="M559" s="8">
        <f t="shared" si="7"/>
        <v>18.001638</v>
      </c>
      <c r="N559" s="3" t="str">
        <f t="shared" si="4"/>
        <v/>
      </c>
      <c r="O559" s="9" t="str">
        <f t="shared" si="5"/>
        <v/>
      </c>
      <c r="P559" s="3" t="str">
        <f t="shared" si="6"/>
        <v/>
      </c>
      <c r="Q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 t="str">
        <f t="shared" si="2"/>
        <v/>
      </c>
      <c r="M560" s="8" t="str">
        <f t="shared" si="7"/>
        <v/>
      </c>
      <c r="N560" s="3" t="str">
        <f t="shared" si="4"/>
        <v>GSTIN &amp; Invoice No not entered</v>
      </c>
      <c r="O560" s="9" t="str">
        <f t="shared" si="5"/>
        <v/>
      </c>
      <c r="P560" s="3" t="str">
        <f t="shared" si="6"/>
        <v/>
      </c>
      <c r="Q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 t="str">
        <f t="shared" si="2"/>
        <v/>
      </c>
      <c r="M561" s="8" t="str">
        <f t="shared" si="7"/>
        <v/>
      </c>
      <c r="N561" s="3" t="str">
        <f t="shared" si="4"/>
        <v>GSTIN &amp; Invoice No not entered</v>
      </c>
      <c r="O561" s="9" t="str">
        <f t="shared" si="5"/>
        <v/>
      </c>
      <c r="P561" s="3" t="str">
        <f t="shared" si="6"/>
        <v/>
      </c>
      <c r="Q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 t="str">
        <f t="shared" si="2"/>
        <v/>
      </c>
      <c r="M562" s="8" t="str">
        <f t="shared" si="7"/>
        <v/>
      </c>
      <c r="N562" s="3" t="str">
        <f t="shared" si="4"/>
        <v>GSTIN &amp; Invoice No not entered</v>
      </c>
      <c r="O562" s="9" t="str">
        <f t="shared" si="5"/>
        <v/>
      </c>
      <c r="P562" s="3" t="str">
        <f t="shared" si="6"/>
        <v/>
      </c>
      <c r="Q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 t="str">
        <f t="shared" si="2"/>
        <v/>
      </c>
      <c r="M563" s="8" t="str">
        <f t="shared" si="7"/>
        <v/>
      </c>
      <c r="N563" s="3" t="str">
        <f t="shared" si="4"/>
        <v>GSTIN &amp; Invoice No not entered</v>
      </c>
      <c r="O563" s="9" t="str">
        <f t="shared" si="5"/>
        <v/>
      </c>
      <c r="P563" s="3" t="str">
        <f t="shared" si="6"/>
        <v/>
      </c>
      <c r="Q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 t="str">
        <f t="shared" si="2"/>
        <v/>
      </c>
      <c r="M564" s="8" t="str">
        <f t="shared" si="7"/>
        <v/>
      </c>
      <c r="N564" s="3" t="str">
        <f t="shared" si="4"/>
        <v>GSTIN &amp; Invoice No not entered</v>
      </c>
      <c r="O564" s="9" t="str">
        <f t="shared" si="5"/>
        <v/>
      </c>
      <c r="P564" s="3" t="str">
        <f t="shared" si="6"/>
        <v/>
      </c>
      <c r="Q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 t="str">
        <f t="shared" si="2"/>
        <v/>
      </c>
      <c r="M565" s="8" t="str">
        <f t="shared" si="7"/>
        <v/>
      </c>
      <c r="N565" s="3" t="str">
        <f t="shared" si="4"/>
        <v>GSTIN &amp; Invoice No not entered</v>
      </c>
      <c r="O565" s="9" t="str">
        <f t="shared" si="5"/>
        <v/>
      </c>
      <c r="P565" s="3" t="str">
        <f t="shared" si="6"/>
        <v/>
      </c>
      <c r="Q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 t="str">
        <f t="shared" si="2"/>
        <v/>
      </c>
      <c r="M566" s="8" t="str">
        <f t="shared" si="7"/>
        <v/>
      </c>
      <c r="N566" s="3" t="str">
        <f t="shared" si="4"/>
        <v>GSTIN &amp; Invoice No not entered</v>
      </c>
      <c r="O566" s="9" t="str">
        <f t="shared" si="5"/>
        <v/>
      </c>
      <c r="P566" s="3" t="str">
        <f t="shared" si="6"/>
        <v/>
      </c>
      <c r="Q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 t="str">
        <f t="shared" si="2"/>
        <v/>
      </c>
      <c r="M567" s="8" t="str">
        <f t="shared" si="7"/>
        <v/>
      </c>
      <c r="N567" s="3" t="str">
        <f t="shared" si="4"/>
        <v>GSTIN &amp; Invoice No not entered</v>
      </c>
      <c r="O567" s="9" t="str">
        <f t="shared" si="5"/>
        <v/>
      </c>
      <c r="P567" s="3" t="str">
        <f t="shared" si="6"/>
        <v/>
      </c>
      <c r="Q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 t="str">
        <f t="shared" si="2"/>
        <v/>
      </c>
      <c r="M568" s="8" t="str">
        <f t="shared" si="7"/>
        <v/>
      </c>
      <c r="N568" s="3" t="str">
        <f t="shared" si="4"/>
        <v>GSTIN &amp; Invoice No not entered</v>
      </c>
      <c r="O568" s="9" t="str">
        <f t="shared" si="5"/>
        <v/>
      </c>
      <c r="P568" s="3" t="str">
        <f t="shared" si="6"/>
        <v/>
      </c>
      <c r="Q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 t="str">
        <f t="shared" si="2"/>
        <v/>
      </c>
      <c r="M569" s="8" t="str">
        <f t="shared" si="7"/>
        <v/>
      </c>
      <c r="N569" s="3" t="str">
        <f t="shared" si="4"/>
        <v>GSTIN &amp; Invoice No not entered</v>
      </c>
      <c r="O569" s="9" t="str">
        <f t="shared" si="5"/>
        <v/>
      </c>
      <c r="P569" s="3" t="str">
        <f t="shared" si="6"/>
        <v/>
      </c>
      <c r="Q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 t="str">
        <f t="shared" si="2"/>
        <v/>
      </c>
      <c r="M570" s="8" t="str">
        <f t="shared" si="7"/>
        <v/>
      </c>
      <c r="N570" s="3" t="str">
        <f t="shared" si="4"/>
        <v>GSTIN &amp; Invoice No not entered</v>
      </c>
      <c r="O570" s="9" t="str">
        <f t="shared" si="5"/>
        <v/>
      </c>
      <c r="P570" s="3" t="str">
        <f t="shared" si="6"/>
        <v/>
      </c>
      <c r="Q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 t="str">
        <f t="shared" si="2"/>
        <v/>
      </c>
      <c r="M571" s="8" t="str">
        <f t="shared" si="7"/>
        <v/>
      </c>
      <c r="N571" s="3" t="str">
        <f t="shared" si="4"/>
        <v>GSTIN &amp; Invoice No not entered</v>
      </c>
      <c r="O571" s="9" t="str">
        <f t="shared" si="5"/>
        <v/>
      </c>
      <c r="P571" s="3" t="str">
        <f t="shared" si="6"/>
        <v/>
      </c>
      <c r="Q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 t="str">
        <f t="shared" si="2"/>
        <v/>
      </c>
      <c r="M572" s="8" t="str">
        <f t="shared" si="7"/>
        <v/>
      </c>
      <c r="N572" s="3" t="str">
        <f t="shared" si="4"/>
        <v>GSTIN &amp; Invoice No not entered</v>
      </c>
      <c r="O572" s="9" t="str">
        <f t="shared" si="5"/>
        <v/>
      </c>
      <c r="P572" s="3" t="str">
        <f t="shared" si="6"/>
        <v/>
      </c>
      <c r="Q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 t="str">
        <f t="shared" si="2"/>
        <v/>
      </c>
      <c r="M573" s="8" t="str">
        <f t="shared" si="7"/>
        <v/>
      </c>
      <c r="N573" s="3" t="str">
        <f t="shared" si="4"/>
        <v>GSTIN &amp; Invoice No not entered</v>
      </c>
      <c r="O573" s="9" t="str">
        <f t="shared" si="5"/>
        <v/>
      </c>
      <c r="P573" s="3" t="str">
        <f t="shared" si="6"/>
        <v/>
      </c>
      <c r="Q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 t="str">
        <f t="shared" si="2"/>
        <v/>
      </c>
      <c r="M574" s="8" t="str">
        <f t="shared" si="7"/>
        <v/>
      </c>
      <c r="N574" s="3" t="str">
        <f t="shared" si="4"/>
        <v>GSTIN &amp; Invoice No not entered</v>
      </c>
      <c r="O574" s="9" t="str">
        <f t="shared" si="5"/>
        <v/>
      </c>
      <c r="P574" s="3" t="str">
        <f t="shared" si="6"/>
        <v/>
      </c>
      <c r="Q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 t="str">
        <f t="shared" si="2"/>
        <v/>
      </c>
      <c r="M575" s="8" t="str">
        <f t="shared" si="7"/>
        <v/>
      </c>
      <c r="N575" s="3" t="str">
        <f t="shared" si="4"/>
        <v>GSTIN &amp; Invoice No not entered</v>
      </c>
      <c r="O575" s="9" t="str">
        <f t="shared" si="5"/>
        <v/>
      </c>
      <c r="P575" s="3" t="str">
        <f t="shared" si="6"/>
        <v/>
      </c>
      <c r="Q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 t="str">
        <f t="shared" si="2"/>
        <v/>
      </c>
      <c r="M576" s="8" t="str">
        <f t="shared" si="7"/>
        <v/>
      </c>
      <c r="N576" s="3" t="str">
        <f t="shared" si="4"/>
        <v>GSTIN &amp; Invoice No not entered</v>
      </c>
      <c r="O576" s="9" t="str">
        <f t="shared" si="5"/>
        <v/>
      </c>
      <c r="P576" s="3" t="str">
        <f t="shared" si="6"/>
        <v/>
      </c>
      <c r="Q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 t="str">
        <f t="shared" si="2"/>
        <v/>
      </c>
      <c r="M577" s="8" t="str">
        <f t="shared" si="7"/>
        <v/>
      </c>
      <c r="N577" s="3" t="str">
        <f t="shared" si="4"/>
        <v>GSTIN &amp; Invoice No not entered</v>
      </c>
      <c r="O577" s="9" t="str">
        <f t="shared" si="5"/>
        <v/>
      </c>
      <c r="P577" s="3" t="str">
        <f t="shared" si="6"/>
        <v/>
      </c>
      <c r="Q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 t="str">
        <f t="shared" si="2"/>
        <v/>
      </c>
      <c r="M578" s="8" t="str">
        <f t="shared" si="7"/>
        <v/>
      </c>
      <c r="N578" s="3" t="str">
        <f t="shared" si="4"/>
        <v>GSTIN &amp; Invoice No not entered</v>
      </c>
      <c r="O578" s="9" t="str">
        <f t="shared" si="5"/>
        <v/>
      </c>
      <c r="P578" s="3" t="str">
        <f t="shared" si="6"/>
        <v/>
      </c>
      <c r="Q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 t="str">
        <f t="shared" si="2"/>
        <v/>
      </c>
      <c r="M579" s="8" t="str">
        <f t="shared" si="7"/>
        <v/>
      </c>
      <c r="N579" s="3" t="str">
        <f t="shared" si="4"/>
        <v>GSTIN &amp; Invoice No not entered</v>
      </c>
      <c r="O579" s="9" t="str">
        <f t="shared" si="5"/>
        <v/>
      </c>
      <c r="P579" s="3" t="str">
        <f t="shared" si="6"/>
        <v/>
      </c>
      <c r="Q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 t="str">
        <f t="shared" si="2"/>
        <v/>
      </c>
      <c r="M580" s="8" t="str">
        <f t="shared" si="7"/>
        <v/>
      </c>
      <c r="N580" s="3" t="str">
        <f t="shared" si="4"/>
        <v>GSTIN &amp; Invoice No not entered</v>
      </c>
      <c r="O580" s="9" t="str">
        <f t="shared" si="5"/>
        <v/>
      </c>
      <c r="P580" s="3" t="str">
        <f t="shared" si="6"/>
        <v/>
      </c>
      <c r="Q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 t="str">
        <f t="shared" si="2"/>
        <v/>
      </c>
      <c r="M581" s="8" t="str">
        <f t="shared" si="7"/>
        <v/>
      </c>
      <c r="N581" s="3" t="str">
        <f t="shared" si="4"/>
        <v>GSTIN &amp; Invoice No not entered</v>
      </c>
      <c r="O581" s="9" t="str">
        <f t="shared" si="5"/>
        <v/>
      </c>
      <c r="P581" s="3" t="str">
        <f t="shared" si="6"/>
        <v/>
      </c>
      <c r="Q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 t="str">
        <f t="shared" si="2"/>
        <v/>
      </c>
      <c r="M582" s="8" t="str">
        <f t="shared" si="7"/>
        <v/>
      </c>
      <c r="N582" s="3" t="str">
        <f t="shared" si="4"/>
        <v>GSTIN &amp; Invoice No not entered</v>
      </c>
      <c r="O582" s="9" t="str">
        <f t="shared" si="5"/>
        <v/>
      </c>
      <c r="P582" s="3" t="str">
        <f t="shared" si="6"/>
        <v/>
      </c>
      <c r="Q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 t="str">
        <f t="shared" si="2"/>
        <v/>
      </c>
      <c r="M583" s="8" t="str">
        <f t="shared" si="7"/>
        <v/>
      </c>
      <c r="N583" s="3" t="str">
        <f t="shared" si="4"/>
        <v>GSTIN &amp; Invoice No not entered</v>
      </c>
      <c r="O583" s="9" t="str">
        <f t="shared" si="5"/>
        <v/>
      </c>
      <c r="P583" s="3" t="str">
        <f t="shared" si="6"/>
        <v/>
      </c>
      <c r="Q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 t="str">
        <f t="shared" si="2"/>
        <v/>
      </c>
      <c r="M584" s="8" t="str">
        <f t="shared" si="7"/>
        <v/>
      </c>
      <c r="N584" s="3" t="str">
        <f t="shared" si="4"/>
        <v>GSTIN &amp; Invoice No not entered</v>
      </c>
      <c r="O584" s="9" t="str">
        <f t="shared" si="5"/>
        <v/>
      </c>
      <c r="P584" s="3" t="str">
        <f t="shared" si="6"/>
        <v/>
      </c>
      <c r="Q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 t="str">
        <f t="shared" si="2"/>
        <v/>
      </c>
      <c r="M585" s="8" t="str">
        <f t="shared" si="7"/>
        <v/>
      </c>
      <c r="N585" s="3" t="str">
        <f t="shared" si="4"/>
        <v>GSTIN &amp; Invoice No not entered</v>
      </c>
      <c r="O585" s="9" t="str">
        <f t="shared" si="5"/>
        <v/>
      </c>
      <c r="P585" s="3" t="str">
        <f t="shared" si="6"/>
        <v/>
      </c>
      <c r="Q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 t="str">
        <f t="shared" si="2"/>
        <v/>
      </c>
      <c r="M586" s="8" t="str">
        <f t="shared" si="7"/>
        <v/>
      </c>
      <c r="N586" s="3" t="str">
        <f t="shared" si="4"/>
        <v>GSTIN &amp; Invoice No not entered</v>
      </c>
      <c r="O586" s="9" t="str">
        <f t="shared" si="5"/>
        <v/>
      </c>
      <c r="P586" s="3" t="str">
        <f t="shared" si="6"/>
        <v/>
      </c>
      <c r="Q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 t="str">
        <f t="shared" si="2"/>
        <v/>
      </c>
      <c r="M587" s="8" t="str">
        <f t="shared" si="7"/>
        <v/>
      </c>
      <c r="N587" s="3" t="str">
        <f t="shared" si="4"/>
        <v>GSTIN &amp; Invoice No not entered</v>
      </c>
      <c r="O587" s="9" t="str">
        <f t="shared" si="5"/>
        <v/>
      </c>
      <c r="P587" s="3" t="str">
        <f t="shared" si="6"/>
        <v/>
      </c>
      <c r="Q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 t="str">
        <f t="shared" si="2"/>
        <v/>
      </c>
      <c r="M588" s="8" t="str">
        <f t="shared" si="7"/>
        <v/>
      </c>
      <c r="N588" s="3" t="str">
        <f t="shared" si="4"/>
        <v>GSTIN &amp; Invoice No not entered</v>
      </c>
      <c r="O588" s="9" t="str">
        <f t="shared" si="5"/>
        <v/>
      </c>
      <c r="P588" s="3" t="str">
        <f t="shared" si="6"/>
        <v/>
      </c>
      <c r="Q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 t="str">
        <f t="shared" si="2"/>
        <v/>
      </c>
      <c r="M589" s="8" t="str">
        <f t="shared" si="7"/>
        <v/>
      </c>
      <c r="N589" s="3" t="str">
        <f t="shared" si="4"/>
        <v>GSTIN &amp; Invoice No not entered</v>
      </c>
      <c r="O589" s="9" t="str">
        <f t="shared" si="5"/>
        <v/>
      </c>
      <c r="P589" s="3" t="str">
        <f t="shared" si="6"/>
        <v/>
      </c>
      <c r="Q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 t="str">
        <f t="shared" si="2"/>
        <v/>
      </c>
      <c r="M590" s="8" t="str">
        <f t="shared" si="7"/>
        <v/>
      </c>
      <c r="N590" s="3" t="str">
        <f t="shared" si="4"/>
        <v>GSTIN &amp; Invoice No not entered</v>
      </c>
      <c r="O590" s="9" t="str">
        <f t="shared" si="5"/>
        <v/>
      </c>
      <c r="P590" s="3" t="str">
        <f t="shared" si="6"/>
        <v/>
      </c>
      <c r="Q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 t="str">
        <f t="shared" si="2"/>
        <v/>
      </c>
      <c r="M591" s="8" t="str">
        <f t="shared" si="7"/>
        <v/>
      </c>
      <c r="N591" s="3" t="str">
        <f t="shared" si="4"/>
        <v>GSTIN &amp; Invoice No not entered</v>
      </c>
      <c r="O591" s="9" t="str">
        <f t="shared" si="5"/>
        <v/>
      </c>
      <c r="P591" s="3" t="str">
        <f t="shared" si="6"/>
        <v/>
      </c>
      <c r="Q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 t="str">
        <f t="shared" si="2"/>
        <v/>
      </c>
      <c r="M592" s="8" t="str">
        <f t="shared" si="7"/>
        <v/>
      </c>
      <c r="N592" s="3" t="str">
        <f t="shared" si="4"/>
        <v>GSTIN &amp; Invoice No not entered</v>
      </c>
      <c r="O592" s="9" t="str">
        <f t="shared" si="5"/>
        <v/>
      </c>
      <c r="P592" s="3" t="str">
        <f t="shared" si="6"/>
        <v/>
      </c>
      <c r="Q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 t="str">
        <f t="shared" si="2"/>
        <v/>
      </c>
      <c r="M593" s="8" t="str">
        <f t="shared" si="7"/>
        <v/>
      </c>
      <c r="N593" s="3" t="str">
        <f t="shared" si="4"/>
        <v>GSTIN &amp; Invoice No not entered</v>
      </c>
      <c r="O593" s="9" t="str">
        <f t="shared" si="5"/>
        <v/>
      </c>
      <c r="P593" s="3" t="str">
        <f t="shared" si="6"/>
        <v/>
      </c>
      <c r="Q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 t="str">
        <f t="shared" si="2"/>
        <v/>
      </c>
      <c r="M594" s="8" t="str">
        <f t="shared" si="7"/>
        <v/>
      </c>
      <c r="N594" s="3" t="str">
        <f t="shared" si="4"/>
        <v>GSTIN &amp; Invoice No not entered</v>
      </c>
      <c r="O594" s="9" t="str">
        <f t="shared" si="5"/>
        <v/>
      </c>
      <c r="P594" s="3" t="str">
        <f t="shared" si="6"/>
        <v/>
      </c>
      <c r="Q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 t="str">
        <f t="shared" si="2"/>
        <v/>
      </c>
      <c r="M595" s="8" t="str">
        <f t="shared" si="7"/>
        <v/>
      </c>
      <c r="N595" s="3" t="str">
        <f t="shared" si="4"/>
        <v>GSTIN &amp; Invoice No not entered</v>
      </c>
      <c r="O595" s="9" t="str">
        <f t="shared" si="5"/>
        <v/>
      </c>
      <c r="P595" s="3" t="str">
        <f t="shared" si="6"/>
        <v/>
      </c>
      <c r="Q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 t="str">
        <f t="shared" si="2"/>
        <v/>
      </c>
      <c r="M596" s="8" t="str">
        <f t="shared" si="7"/>
        <v/>
      </c>
      <c r="N596" s="3" t="str">
        <f t="shared" si="4"/>
        <v>GSTIN &amp; Invoice No not entered</v>
      </c>
      <c r="O596" s="9" t="str">
        <f t="shared" si="5"/>
        <v/>
      </c>
      <c r="P596" s="3" t="str">
        <f t="shared" si="6"/>
        <v/>
      </c>
      <c r="Q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 t="str">
        <f t="shared" si="2"/>
        <v/>
      </c>
      <c r="M597" s="8" t="str">
        <f t="shared" si="7"/>
        <v/>
      </c>
      <c r="N597" s="3" t="str">
        <f t="shared" si="4"/>
        <v>GSTIN &amp; Invoice No not entered</v>
      </c>
      <c r="O597" s="9" t="str">
        <f t="shared" si="5"/>
        <v/>
      </c>
      <c r="P597" s="3" t="str">
        <f t="shared" si="6"/>
        <v/>
      </c>
      <c r="Q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 t="str">
        <f t="shared" si="2"/>
        <v/>
      </c>
      <c r="M598" s="8" t="str">
        <f t="shared" si="7"/>
        <v/>
      </c>
      <c r="N598" s="3" t="str">
        <f t="shared" si="4"/>
        <v>GSTIN &amp; Invoice No not entered</v>
      </c>
      <c r="O598" s="9" t="str">
        <f t="shared" si="5"/>
        <v/>
      </c>
      <c r="P598" s="3" t="str">
        <f t="shared" si="6"/>
        <v/>
      </c>
      <c r="Q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 t="str">
        <f t="shared" si="2"/>
        <v/>
      </c>
      <c r="M599" s="8" t="str">
        <f t="shared" si="7"/>
        <v/>
      </c>
      <c r="N599" s="3" t="str">
        <f t="shared" si="4"/>
        <v>GSTIN &amp; Invoice No not entered</v>
      </c>
      <c r="O599" s="9" t="str">
        <f t="shared" si="5"/>
        <v/>
      </c>
      <c r="P599" s="3" t="str">
        <f t="shared" si="6"/>
        <v/>
      </c>
      <c r="Q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 t="str">
        <f t="shared" si="2"/>
        <v/>
      </c>
      <c r="M600" s="8" t="str">
        <f t="shared" si="7"/>
        <v/>
      </c>
      <c r="N600" s="3" t="str">
        <f t="shared" si="4"/>
        <v>GSTIN &amp; Invoice No not entered</v>
      </c>
      <c r="O600" s="9" t="str">
        <f t="shared" si="5"/>
        <v/>
      </c>
      <c r="P600" s="3" t="str">
        <f t="shared" si="6"/>
        <v/>
      </c>
      <c r="Q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 t="str">
        <f t="shared" si="2"/>
        <v/>
      </c>
      <c r="M601" s="8" t="str">
        <f t="shared" si="7"/>
        <v/>
      </c>
      <c r="N601" s="3" t="str">
        <f t="shared" si="4"/>
        <v>GSTIN &amp; Invoice No not entered</v>
      </c>
      <c r="O601" s="9" t="str">
        <f t="shared" si="5"/>
        <v/>
      </c>
      <c r="P601" s="3" t="str">
        <f t="shared" si="6"/>
        <v/>
      </c>
      <c r="Q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 t="str">
        <f t="shared" si="2"/>
        <v/>
      </c>
      <c r="M602" s="8" t="str">
        <f t="shared" si="7"/>
        <v/>
      </c>
      <c r="N602" s="3" t="str">
        <f t="shared" si="4"/>
        <v>GSTIN &amp; Invoice No not entered</v>
      </c>
      <c r="O602" s="9" t="str">
        <f t="shared" si="5"/>
        <v/>
      </c>
      <c r="P602" s="3" t="str">
        <f t="shared" si="6"/>
        <v/>
      </c>
      <c r="Q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 t="str">
        <f t="shared" si="2"/>
        <v/>
      </c>
      <c r="M603" s="8" t="str">
        <f t="shared" si="7"/>
        <v/>
      </c>
      <c r="N603" s="3" t="str">
        <f t="shared" si="4"/>
        <v>GSTIN &amp; Invoice No not entered</v>
      </c>
      <c r="O603" s="9" t="str">
        <f t="shared" si="5"/>
        <v/>
      </c>
      <c r="P603" s="3" t="str">
        <f t="shared" si="6"/>
        <v/>
      </c>
      <c r="Q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 t="str">
        <f t="shared" si="2"/>
        <v/>
      </c>
      <c r="M604" s="8" t="str">
        <f t="shared" si="7"/>
        <v/>
      </c>
      <c r="N604" s="3" t="str">
        <f t="shared" si="4"/>
        <v>GSTIN &amp; Invoice No not entered</v>
      </c>
      <c r="O604" s="9" t="str">
        <f t="shared" si="5"/>
        <v/>
      </c>
      <c r="P604" s="3" t="str">
        <f t="shared" si="6"/>
        <v/>
      </c>
      <c r="Q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 t="str">
        <f t="shared" si="2"/>
        <v/>
      </c>
      <c r="M605" s="8" t="str">
        <f t="shared" si="7"/>
        <v/>
      </c>
      <c r="N605" s="3" t="str">
        <f t="shared" si="4"/>
        <v>GSTIN &amp; Invoice No not entered</v>
      </c>
      <c r="O605" s="9" t="str">
        <f t="shared" si="5"/>
        <v/>
      </c>
      <c r="P605" s="3" t="str">
        <f t="shared" si="6"/>
        <v/>
      </c>
      <c r="Q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 t="str">
        <f t="shared" si="2"/>
        <v/>
      </c>
      <c r="M606" s="8" t="str">
        <f t="shared" si="7"/>
        <v/>
      </c>
      <c r="N606" s="3" t="str">
        <f t="shared" si="4"/>
        <v>GSTIN &amp; Invoice No not entered</v>
      </c>
      <c r="O606" s="9" t="str">
        <f t="shared" si="5"/>
        <v/>
      </c>
      <c r="P606" s="3" t="str">
        <f t="shared" si="6"/>
        <v/>
      </c>
      <c r="Q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 t="str">
        <f t="shared" si="2"/>
        <v/>
      </c>
      <c r="M607" s="8" t="str">
        <f t="shared" si="7"/>
        <v/>
      </c>
      <c r="N607" s="3" t="str">
        <f t="shared" si="4"/>
        <v>GSTIN &amp; Invoice No not entered</v>
      </c>
      <c r="O607" s="9" t="str">
        <f t="shared" si="5"/>
        <v/>
      </c>
      <c r="P607" s="3" t="str">
        <f t="shared" si="6"/>
        <v/>
      </c>
      <c r="Q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 t="str">
        <f t="shared" si="2"/>
        <v/>
      </c>
      <c r="M608" s="8" t="str">
        <f t="shared" si="7"/>
        <v/>
      </c>
      <c r="N608" s="3" t="str">
        <f t="shared" si="4"/>
        <v>GSTIN &amp; Invoice No not entered</v>
      </c>
      <c r="O608" s="9" t="str">
        <f t="shared" si="5"/>
        <v/>
      </c>
      <c r="P608" s="3" t="str">
        <f t="shared" si="6"/>
        <v/>
      </c>
      <c r="Q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 t="str">
        <f t="shared" si="2"/>
        <v/>
      </c>
      <c r="M609" s="8" t="str">
        <f t="shared" si="7"/>
        <v/>
      </c>
      <c r="N609" s="3" t="str">
        <f t="shared" si="4"/>
        <v>GSTIN &amp; Invoice No not entered</v>
      </c>
      <c r="O609" s="9" t="str">
        <f t="shared" si="5"/>
        <v/>
      </c>
      <c r="P609" s="3" t="str">
        <f t="shared" si="6"/>
        <v/>
      </c>
      <c r="Q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 t="str">
        <f t="shared" si="2"/>
        <v/>
      </c>
      <c r="M610" s="8" t="str">
        <f t="shared" si="7"/>
        <v/>
      </c>
      <c r="N610" s="3" t="str">
        <f t="shared" si="4"/>
        <v>GSTIN &amp; Invoice No not entered</v>
      </c>
      <c r="O610" s="9" t="str">
        <f t="shared" si="5"/>
        <v/>
      </c>
      <c r="P610" s="3" t="str">
        <f t="shared" si="6"/>
        <v/>
      </c>
      <c r="Q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 t="str">
        <f t="shared" si="2"/>
        <v/>
      </c>
      <c r="M611" s="8" t="str">
        <f t="shared" si="7"/>
        <v/>
      </c>
      <c r="N611" s="3" t="str">
        <f t="shared" si="4"/>
        <v>GSTIN &amp; Invoice No not entered</v>
      </c>
      <c r="O611" s="9" t="str">
        <f t="shared" si="5"/>
        <v/>
      </c>
      <c r="P611" s="3" t="str">
        <f t="shared" si="6"/>
        <v/>
      </c>
      <c r="Q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 t="str">
        <f t="shared" si="2"/>
        <v/>
      </c>
      <c r="M612" s="8" t="str">
        <f t="shared" si="7"/>
        <v/>
      </c>
      <c r="N612" s="3" t="str">
        <f t="shared" si="4"/>
        <v>GSTIN &amp; Invoice No not entered</v>
      </c>
      <c r="O612" s="9" t="str">
        <f t="shared" si="5"/>
        <v/>
      </c>
      <c r="P612" s="3" t="str">
        <f t="shared" si="6"/>
        <v/>
      </c>
      <c r="Q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 t="str">
        <f t="shared" si="2"/>
        <v/>
      </c>
      <c r="M613" s="8" t="str">
        <f t="shared" si="7"/>
        <v/>
      </c>
      <c r="N613" s="3" t="str">
        <f t="shared" si="4"/>
        <v>GSTIN &amp; Invoice No not entered</v>
      </c>
      <c r="O613" s="9" t="str">
        <f t="shared" si="5"/>
        <v/>
      </c>
      <c r="P613" s="3" t="str">
        <f t="shared" si="6"/>
        <v/>
      </c>
      <c r="Q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 t="str">
        <f t="shared" si="2"/>
        <v/>
      </c>
      <c r="M614" s="8" t="str">
        <f t="shared" si="7"/>
        <v/>
      </c>
      <c r="N614" s="3" t="str">
        <f t="shared" si="4"/>
        <v>GSTIN &amp; Invoice No not entered</v>
      </c>
      <c r="O614" s="9" t="str">
        <f t="shared" si="5"/>
        <v/>
      </c>
      <c r="P614" s="3" t="str">
        <f t="shared" si="6"/>
        <v/>
      </c>
      <c r="Q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 t="str">
        <f t="shared" si="2"/>
        <v/>
      </c>
      <c r="M615" s="8" t="str">
        <f t="shared" si="7"/>
        <v/>
      </c>
      <c r="N615" s="3" t="str">
        <f t="shared" si="4"/>
        <v>GSTIN &amp; Invoice No not entered</v>
      </c>
      <c r="O615" s="9" t="str">
        <f t="shared" si="5"/>
        <v/>
      </c>
      <c r="P615" s="3" t="str">
        <f t="shared" si="6"/>
        <v/>
      </c>
      <c r="Q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 t="str">
        <f t="shared" si="2"/>
        <v/>
      </c>
      <c r="M616" s="8" t="str">
        <f t="shared" si="7"/>
        <v/>
      </c>
      <c r="N616" s="3" t="str">
        <f t="shared" si="4"/>
        <v>GSTIN &amp; Invoice No not entered</v>
      </c>
      <c r="O616" s="9" t="str">
        <f t="shared" si="5"/>
        <v/>
      </c>
      <c r="P616" s="3" t="str">
        <f t="shared" si="6"/>
        <v/>
      </c>
      <c r="Q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 t="str">
        <f t="shared" si="2"/>
        <v/>
      </c>
      <c r="M617" s="8" t="str">
        <f t="shared" si="7"/>
        <v/>
      </c>
      <c r="N617" s="3" t="str">
        <f t="shared" si="4"/>
        <v>GSTIN &amp; Invoice No not entered</v>
      </c>
      <c r="O617" s="9" t="str">
        <f t="shared" si="5"/>
        <v/>
      </c>
      <c r="P617" s="3" t="str">
        <f t="shared" si="6"/>
        <v/>
      </c>
      <c r="Q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 t="str">
        <f t="shared" si="2"/>
        <v/>
      </c>
      <c r="M618" s="8" t="str">
        <f t="shared" si="7"/>
        <v/>
      </c>
      <c r="N618" s="3" t="str">
        <f t="shared" si="4"/>
        <v>GSTIN &amp; Invoice No not entered</v>
      </c>
      <c r="O618" s="9" t="str">
        <f t="shared" si="5"/>
        <v/>
      </c>
      <c r="P618" s="3" t="str">
        <f t="shared" si="6"/>
        <v/>
      </c>
      <c r="Q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 t="str">
        <f t="shared" si="2"/>
        <v/>
      </c>
      <c r="M619" s="8" t="str">
        <f t="shared" si="7"/>
        <v/>
      </c>
      <c r="N619" s="3" t="str">
        <f t="shared" si="4"/>
        <v>GSTIN &amp; Invoice No not entered</v>
      </c>
      <c r="O619" s="9" t="str">
        <f t="shared" si="5"/>
        <v/>
      </c>
      <c r="P619" s="3" t="str">
        <f t="shared" si="6"/>
        <v/>
      </c>
      <c r="Q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 t="str">
        <f t="shared" si="2"/>
        <v/>
      </c>
      <c r="M620" s="8" t="str">
        <f t="shared" si="7"/>
        <v/>
      </c>
      <c r="N620" s="3" t="str">
        <f t="shared" si="4"/>
        <v>GSTIN &amp; Invoice No not entered</v>
      </c>
      <c r="O620" s="9" t="str">
        <f t="shared" si="5"/>
        <v/>
      </c>
      <c r="P620" s="3" t="str">
        <f t="shared" si="6"/>
        <v/>
      </c>
      <c r="Q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 t="str">
        <f t="shared" si="2"/>
        <v/>
      </c>
      <c r="M621" s="8" t="str">
        <f t="shared" si="7"/>
        <v/>
      </c>
      <c r="N621" s="3" t="str">
        <f t="shared" si="4"/>
        <v>GSTIN &amp; Invoice No not entered</v>
      </c>
      <c r="O621" s="9" t="str">
        <f t="shared" si="5"/>
        <v/>
      </c>
      <c r="P621" s="3" t="str">
        <f t="shared" si="6"/>
        <v/>
      </c>
      <c r="Q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 t="str">
        <f t="shared" si="2"/>
        <v/>
      </c>
      <c r="M622" s="8" t="str">
        <f t="shared" si="7"/>
        <v/>
      </c>
      <c r="N622" s="3" t="str">
        <f t="shared" si="4"/>
        <v>GSTIN &amp; Invoice No not entered</v>
      </c>
      <c r="O622" s="9" t="str">
        <f t="shared" si="5"/>
        <v/>
      </c>
      <c r="P622" s="3" t="str">
        <f t="shared" si="6"/>
        <v/>
      </c>
      <c r="Q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 t="str">
        <f t="shared" si="2"/>
        <v/>
      </c>
      <c r="M623" s="8" t="str">
        <f t="shared" si="7"/>
        <v/>
      </c>
      <c r="N623" s="3" t="str">
        <f t="shared" si="4"/>
        <v>GSTIN &amp; Invoice No not entered</v>
      </c>
      <c r="O623" s="9" t="str">
        <f t="shared" si="5"/>
        <v/>
      </c>
      <c r="P623" s="3" t="str">
        <f t="shared" si="6"/>
        <v/>
      </c>
      <c r="Q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 t="str">
        <f t="shared" si="2"/>
        <v/>
      </c>
      <c r="M624" s="8" t="str">
        <f t="shared" si="7"/>
        <v/>
      </c>
      <c r="N624" s="3" t="str">
        <f t="shared" si="4"/>
        <v>GSTIN &amp; Invoice No not entered</v>
      </c>
      <c r="O624" s="9" t="str">
        <f t="shared" si="5"/>
        <v/>
      </c>
      <c r="P624" s="3" t="str">
        <f t="shared" si="6"/>
        <v/>
      </c>
      <c r="Q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 t="str">
        <f t="shared" si="2"/>
        <v/>
      </c>
      <c r="M625" s="8" t="str">
        <f t="shared" si="7"/>
        <v/>
      </c>
      <c r="N625" s="3" t="str">
        <f t="shared" si="4"/>
        <v>GSTIN &amp; Invoice No not entered</v>
      </c>
      <c r="O625" s="9" t="str">
        <f t="shared" si="5"/>
        <v/>
      </c>
      <c r="P625" s="3" t="str">
        <f t="shared" si="6"/>
        <v/>
      </c>
      <c r="Q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 t="str">
        <f t="shared" si="2"/>
        <v/>
      </c>
      <c r="M626" s="8" t="str">
        <f t="shared" si="7"/>
        <v/>
      </c>
      <c r="N626" s="3" t="str">
        <f t="shared" si="4"/>
        <v>GSTIN &amp; Invoice No not entered</v>
      </c>
      <c r="O626" s="9" t="str">
        <f t="shared" si="5"/>
        <v/>
      </c>
      <c r="P626" s="3" t="str">
        <f t="shared" si="6"/>
        <v/>
      </c>
      <c r="Q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 t="str">
        <f t="shared" si="2"/>
        <v/>
      </c>
      <c r="M627" s="8" t="str">
        <f t="shared" si="7"/>
        <v/>
      </c>
      <c r="N627" s="3" t="str">
        <f t="shared" si="4"/>
        <v>GSTIN &amp; Invoice No not entered</v>
      </c>
      <c r="O627" s="9" t="str">
        <f t="shared" si="5"/>
        <v/>
      </c>
      <c r="P627" s="3" t="str">
        <f t="shared" si="6"/>
        <v/>
      </c>
      <c r="Q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 t="str">
        <f t="shared" si="2"/>
        <v/>
      </c>
      <c r="M628" s="8" t="str">
        <f t="shared" si="7"/>
        <v/>
      </c>
      <c r="N628" s="3" t="str">
        <f t="shared" si="4"/>
        <v>GSTIN &amp; Invoice No not entered</v>
      </c>
      <c r="O628" s="9" t="str">
        <f t="shared" si="5"/>
        <v/>
      </c>
      <c r="P628" s="3" t="str">
        <f t="shared" si="6"/>
        <v/>
      </c>
      <c r="Q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 t="str">
        <f t="shared" si="2"/>
        <v/>
      </c>
      <c r="M629" s="8" t="str">
        <f t="shared" si="7"/>
        <v/>
      </c>
      <c r="N629" s="3" t="str">
        <f t="shared" si="4"/>
        <v>GSTIN &amp; Invoice No not entered</v>
      </c>
      <c r="O629" s="9" t="str">
        <f t="shared" si="5"/>
        <v/>
      </c>
      <c r="P629" s="3" t="str">
        <f t="shared" si="6"/>
        <v/>
      </c>
      <c r="Q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 t="str">
        <f t="shared" si="2"/>
        <v/>
      </c>
      <c r="M630" s="8" t="str">
        <f t="shared" si="7"/>
        <v/>
      </c>
      <c r="N630" s="3" t="str">
        <f t="shared" si="4"/>
        <v>GSTIN &amp; Invoice No not entered</v>
      </c>
      <c r="O630" s="9" t="str">
        <f t="shared" si="5"/>
        <v/>
      </c>
      <c r="P630" s="3" t="str">
        <f t="shared" si="6"/>
        <v/>
      </c>
      <c r="Q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 t="str">
        <f t="shared" si="2"/>
        <v/>
      </c>
      <c r="M631" s="8" t="str">
        <f t="shared" si="7"/>
        <v/>
      </c>
      <c r="N631" s="3" t="str">
        <f t="shared" si="4"/>
        <v>GSTIN &amp; Invoice No not entered</v>
      </c>
      <c r="O631" s="9" t="str">
        <f t="shared" si="5"/>
        <v/>
      </c>
      <c r="P631" s="3" t="str">
        <f t="shared" si="6"/>
        <v/>
      </c>
      <c r="Q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 t="str">
        <f t="shared" si="2"/>
        <v/>
      </c>
      <c r="M632" s="8" t="str">
        <f t="shared" si="7"/>
        <v/>
      </c>
      <c r="N632" s="3" t="str">
        <f t="shared" si="4"/>
        <v>GSTIN &amp; Invoice No not entered</v>
      </c>
      <c r="O632" s="9" t="str">
        <f t="shared" si="5"/>
        <v/>
      </c>
      <c r="P632" s="3" t="str">
        <f t="shared" si="6"/>
        <v/>
      </c>
      <c r="Q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 t="str">
        <f t="shared" si="2"/>
        <v/>
      </c>
      <c r="M633" s="8" t="str">
        <f t="shared" si="7"/>
        <v/>
      </c>
      <c r="N633" s="3" t="str">
        <f t="shared" si="4"/>
        <v>GSTIN &amp; Invoice No not entered</v>
      </c>
      <c r="O633" s="9" t="str">
        <f t="shared" si="5"/>
        <v/>
      </c>
      <c r="P633" s="3" t="str">
        <f t="shared" si="6"/>
        <v/>
      </c>
      <c r="Q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 t="str">
        <f t="shared" si="2"/>
        <v/>
      </c>
      <c r="M634" s="8" t="str">
        <f t="shared" si="7"/>
        <v/>
      </c>
      <c r="N634" s="3" t="str">
        <f t="shared" si="4"/>
        <v>GSTIN &amp; Invoice No not entered</v>
      </c>
      <c r="O634" s="9" t="str">
        <f t="shared" si="5"/>
        <v/>
      </c>
      <c r="P634" s="3" t="str">
        <f t="shared" si="6"/>
        <v/>
      </c>
      <c r="Q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 t="str">
        <f t="shared" si="2"/>
        <v/>
      </c>
      <c r="M635" s="8" t="str">
        <f t="shared" si="7"/>
        <v/>
      </c>
      <c r="N635" s="3" t="str">
        <f t="shared" si="4"/>
        <v>GSTIN &amp; Invoice No not entered</v>
      </c>
      <c r="O635" s="9" t="str">
        <f t="shared" si="5"/>
        <v/>
      </c>
      <c r="P635" s="3" t="str">
        <f t="shared" si="6"/>
        <v/>
      </c>
      <c r="Q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 t="str">
        <f t="shared" si="2"/>
        <v/>
      </c>
      <c r="M636" s="8" t="str">
        <f t="shared" si="7"/>
        <v/>
      </c>
      <c r="N636" s="3" t="str">
        <f t="shared" si="4"/>
        <v>GSTIN &amp; Invoice No not entered</v>
      </c>
      <c r="O636" s="9" t="str">
        <f t="shared" si="5"/>
        <v/>
      </c>
      <c r="P636" s="3" t="str">
        <f t="shared" si="6"/>
        <v/>
      </c>
      <c r="Q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 t="str">
        <f t="shared" si="2"/>
        <v/>
      </c>
      <c r="M637" s="8" t="str">
        <f t="shared" si="7"/>
        <v/>
      </c>
      <c r="N637" s="3" t="str">
        <f t="shared" si="4"/>
        <v>GSTIN &amp; Invoice No not entered</v>
      </c>
      <c r="O637" s="9" t="str">
        <f t="shared" si="5"/>
        <v/>
      </c>
      <c r="P637" s="3" t="str">
        <f t="shared" si="6"/>
        <v/>
      </c>
      <c r="Q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 t="str">
        <f t="shared" si="2"/>
        <v/>
      </c>
      <c r="M638" s="8" t="str">
        <f t="shared" si="7"/>
        <v/>
      </c>
      <c r="N638" s="3" t="str">
        <f t="shared" si="4"/>
        <v>GSTIN &amp; Invoice No not entered</v>
      </c>
      <c r="O638" s="9" t="str">
        <f t="shared" si="5"/>
        <v/>
      </c>
      <c r="P638" s="3" t="str">
        <f t="shared" si="6"/>
        <v/>
      </c>
      <c r="Q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 t="str">
        <f t="shared" si="2"/>
        <v/>
      </c>
      <c r="M639" s="8" t="str">
        <f t="shared" si="7"/>
        <v/>
      </c>
      <c r="N639" s="3" t="str">
        <f t="shared" si="4"/>
        <v>GSTIN &amp; Invoice No not entered</v>
      </c>
      <c r="O639" s="9" t="str">
        <f t="shared" si="5"/>
        <v/>
      </c>
      <c r="P639" s="3" t="str">
        <f t="shared" si="6"/>
        <v/>
      </c>
      <c r="Q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 t="str">
        <f t="shared" si="2"/>
        <v/>
      </c>
      <c r="M640" s="8" t="str">
        <f t="shared" si="7"/>
        <v/>
      </c>
      <c r="N640" s="3" t="str">
        <f t="shared" si="4"/>
        <v>GSTIN &amp; Invoice No not entered</v>
      </c>
      <c r="O640" s="9" t="str">
        <f t="shared" si="5"/>
        <v/>
      </c>
      <c r="P640" s="3" t="str">
        <f t="shared" si="6"/>
        <v/>
      </c>
      <c r="Q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 t="str">
        <f t="shared" si="2"/>
        <v/>
      </c>
      <c r="M641" s="8" t="str">
        <f t="shared" si="7"/>
        <v/>
      </c>
      <c r="N641" s="3" t="str">
        <f t="shared" si="4"/>
        <v>GSTIN &amp; Invoice No not entered</v>
      </c>
      <c r="O641" s="9" t="str">
        <f t="shared" si="5"/>
        <v/>
      </c>
      <c r="P641" s="3" t="str">
        <f t="shared" si="6"/>
        <v/>
      </c>
      <c r="Q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 t="str">
        <f t="shared" si="2"/>
        <v/>
      </c>
      <c r="M642" s="8" t="str">
        <f t="shared" si="7"/>
        <v/>
      </c>
      <c r="N642" s="3" t="str">
        <f t="shared" si="4"/>
        <v>GSTIN &amp; Invoice No not entered</v>
      </c>
      <c r="O642" s="9" t="str">
        <f t="shared" si="5"/>
        <v/>
      </c>
      <c r="P642" s="3" t="str">
        <f t="shared" si="6"/>
        <v/>
      </c>
      <c r="Q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 t="str">
        <f t="shared" si="2"/>
        <v/>
      </c>
      <c r="M643" s="8" t="str">
        <f t="shared" si="7"/>
        <v/>
      </c>
      <c r="N643" s="3" t="str">
        <f t="shared" si="4"/>
        <v>GSTIN &amp; Invoice No not entered</v>
      </c>
      <c r="O643" s="9" t="str">
        <f t="shared" si="5"/>
        <v/>
      </c>
      <c r="P643" s="3" t="str">
        <f t="shared" si="6"/>
        <v/>
      </c>
      <c r="Q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 t="str">
        <f t="shared" si="2"/>
        <v/>
      </c>
      <c r="M644" s="8" t="str">
        <f t="shared" si="7"/>
        <v/>
      </c>
      <c r="N644" s="3" t="str">
        <f t="shared" si="4"/>
        <v>GSTIN &amp; Invoice No not entered</v>
      </c>
      <c r="O644" s="9" t="str">
        <f t="shared" si="5"/>
        <v/>
      </c>
      <c r="P644" s="3" t="str">
        <f t="shared" si="6"/>
        <v/>
      </c>
      <c r="Q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 t="str">
        <f t="shared" si="2"/>
        <v/>
      </c>
      <c r="M645" s="8" t="str">
        <f t="shared" si="7"/>
        <v/>
      </c>
      <c r="N645" s="3" t="str">
        <f t="shared" si="4"/>
        <v>GSTIN &amp; Invoice No not entered</v>
      </c>
      <c r="O645" s="9" t="str">
        <f t="shared" si="5"/>
        <v/>
      </c>
      <c r="P645" s="3" t="str">
        <f t="shared" si="6"/>
        <v/>
      </c>
      <c r="Q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 t="str">
        <f t="shared" si="2"/>
        <v/>
      </c>
      <c r="M646" s="8" t="str">
        <f t="shared" si="7"/>
        <v/>
      </c>
      <c r="N646" s="3" t="str">
        <f t="shared" si="4"/>
        <v>GSTIN &amp; Invoice No not entered</v>
      </c>
      <c r="O646" s="9" t="str">
        <f t="shared" si="5"/>
        <v/>
      </c>
      <c r="P646" s="3" t="str">
        <f t="shared" si="6"/>
        <v/>
      </c>
      <c r="Q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 t="str">
        <f t="shared" si="2"/>
        <v/>
      </c>
      <c r="M647" s="8" t="str">
        <f t="shared" si="7"/>
        <v/>
      </c>
      <c r="N647" s="3" t="str">
        <f t="shared" si="4"/>
        <v>GSTIN &amp; Invoice No not entered</v>
      </c>
      <c r="O647" s="9" t="str">
        <f t="shared" si="5"/>
        <v/>
      </c>
      <c r="P647" s="3" t="str">
        <f t="shared" si="6"/>
        <v/>
      </c>
      <c r="Q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 t="str">
        <f t="shared" si="2"/>
        <v/>
      </c>
      <c r="M648" s="8" t="str">
        <f t="shared" si="7"/>
        <v/>
      </c>
      <c r="N648" s="3" t="str">
        <f t="shared" si="4"/>
        <v>GSTIN &amp; Invoice No not entered</v>
      </c>
      <c r="O648" s="9" t="str">
        <f t="shared" si="5"/>
        <v/>
      </c>
      <c r="P648" s="3" t="str">
        <f t="shared" si="6"/>
        <v/>
      </c>
      <c r="Q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 t="str">
        <f t="shared" si="2"/>
        <v/>
      </c>
      <c r="M649" s="8" t="str">
        <f t="shared" si="7"/>
        <v/>
      </c>
      <c r="N649" s="3" t="str">
        <f t="shared" si="4"/>
        <v>GSTIN &amp; Invoice No not entered</v>
      </c>
      <c r="O649" s="9" t="str">
        <f t="shared" si="5"/>
        <v/>
      </c>
      <c r="P649" s="3" t="str">
        <f t="shared" si="6"/>
        <v/>
      </c>
      <c r="Q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 t="str">
        <f t="shared" si="2"/>
        <v/>
      </c>
      <c r="M650" s="8" t="str">
        <f t="shared" si="7"/>
        <v/>
      </c>
      <c r="N650" s="3" t="str">
        <f t="shared" si="4"/>
        <v>GSTIN &amp; Invoice No not entered</v>
      </c>
      <c r="O650" s="9" t="str">
        <f t="shared" si="5"/>
        <v/>
      </c>
      <c r="P650" s="3" t="str">
        <f t="shared" si="6"/>
        <v/>
      </c>
      <c r="Q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 t="str">
        <f t="shared" si="2"/>
        <v/>
      </c>
      <c r="M651" s="8" t="str">
        <f t="shared" si="7"/>
        <v/>
      </c>
      <c r="N651" s="3" t="str">
        <f t="shared" si="4"/>
        <v>GSTIN &amp; Invoice No not entered</v>
      </c>
      <c r="O651" s="9" t="str">
        <f t="shared" si="5"/>
        <v/>
      </c>
      <c r="P651" s="3" t="str">
        <f t="shared" si="6"/>
        <v/>
      </c>
      <c r="Q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 t="str">
        <f t="shared" si="2"/>
        <v/>
      </c>
      <c r="M652" s="8" t="str">
        <f t="shared" si="7"/>
        <v/>
      </c>
      <c r="N652" s="3" t="str">
        <f t="shared" si="4"/>
        <v>GSTIN &amp; Invoice No not entered</v>
      </c>
      <c r="O652" s="9" t="str">
        <f t="shared" si="5"/>
        <v/>
      </c>
      <c r="P652" s="3" t="str">
        <f t="shared" si="6"/>
        <v/>
      </c>
      <c r="Q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 t="str">
        <f t="shared" si="2"/>
        <v/>
      </c>
      <c r="M653" s="8" t="str">
        <f t="shared" si="7"/>
        <v/>
      </c>
      <c r="N653" s="3" t="str">
        <f t="shared" si="4"/>
        <v>GSTIN &amp; Invoice No not entered</v>
      </c>
      <c r="O653" s="9" t="str">
        <f t="shared" si="5"/>
        <v/>
      </c>
      <c r="P653" s="3" t="str">
        <f t="shared" si="6"/>
        <v/>
      </c>
      <c r="Q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 t="str">
        <f t="shared" si="2"/>
        <v/>
      </c>
      <c r="M654" s="8" t="str">
        <f t="shared" si="7"/>
        <v/>
      </c>
      <c r="N654" s="3" t="str">
        <f t="shared" si="4"/>
        <v>GSTIN &amp; Invoice No not entered</v>
      </c>
      <c r="O654" s="9" t="str">
        <f t="shared" si="5"/>
        <v/>
      </c>
      <c r="P654" s="3" t="str">
        <f t="shared" si="6"/>
        <v/>
      </c>
      <c r="Q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 t="str">
        <f t="shared" si="2"/>
        <v/>
      </c>
      <c r="M655" s="8" t="str">
        <f t="shared" si="7"/>
        <v/>
      </c>
      <c r="N655" s="3" t="str">
        <f t="shared" si="4"/>
        <v>GSTIN &amp; Invoice No not entered</v>
      </c>
      <c r="O655" s="9" t="str">
        <f t="shared" si="5"/>
        <v/>
      </c>
      <c r="P655" s="3" t="str">
        <f t="shared" si="6"/>
        <v/>
      </c>
      <c r="Q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 t="str">
        <f t="shared" si="2"/>
        <v/>
      </c>
      <c r="M656" s="8" t="str">
        <f t="shared" si="7"/>
        <v/>
      </c>
      <c r="N656" s="3" t="str">
        <f t="shared" si="4"/>
        <v>GSTIN &amp; Invoice No not entered</v>
      </c>
      <c r="O656" s="9" t="str">
        <f t="shared" si="5"/>
        <v/>
      </c>
      <c r="P656" s="3" t="str">
        <f t="shared" si="6"/>
        <v/>
      </c>
      <c r="Q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 t="str">
        <f t="shared" si="2"/>
        <v/>
      </c>
      <c r="M657" s="8" t="str">
        <f t="shared" si="7"/>
        <v/>
      </c>
      <c r="N657" s="3" t="str">
        <f t="shared" si="4"/>
        <v>GSTIN &amp; Invoice No not entered</v>
      </c>
      <c r="O657" s="9" t="str">
        <f t="shared" si="5"/>
        <v/>
      </c>
      <c r="P657" s="3" t="str">
        <f t="shared" si="6"/>
        <v/>
      </c>
      <c r="Q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 t="str">
        <f t="shared" si="2"/>
        <v/>
      </c>
      <c r="M658" s="8" t="str">
        <f t="shared" si="7"/>
        <v/>
      </c>
      <c r="N658" s="3" t="str">
        <f t="shared" si="4"/>
        <v>GSTIN &amp; Invoice No not entered</v>
      </c>
      <c r="O658" s="9" t="str">
        <f t="shared" si="5"/>
        <v/>
      </c>
      <c r="P658" s="3" t="str">
        <f t="shared" si="6"/>
        <v/>
      </c>
      <c r="Q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 t="str">
        <f t="shared" si="2"/>
        <v/>
      </c>
      <c r="M659" s="8" t="str">
        <f t="shared" si="7"/>
        <v/>
      </c>
      <c r="N659" s="3" t="str">
        <f t="shared" si="4"/>
        <v>GSTIN &amp; Invoice No not entered</v>
      </c>
      <c r="O659" s="9" t="str">
        <f t="shared" si="5"/>
        <v/>
      </c>
      <c r="P659" s="3" t="str">
        <f t="shared" si="6"/>
        <v/>
      </c>
      <c r="Q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 t="str">
        <f t="shared" si="2"/>
        <v/>
      </c>
      <c r="M660" s="8" t="str">
        <f t="shared" si="7"/>
        <v/>
      </c>
      <c r="N660" s="3" t="str">
        <f t="shared" si="4"/>
        <v>GSTIN &amp; Invoice No not entered</v>
      </c>
      <c r="O660" s="9" t="str">
        <f t="shared" si="5"/>
        <v/>
      </c>
      <c r="P660" s="3" t="str">
        <f t="shared" si="6"/>
        <v/>
      </c>
      <c r="Q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 t="str">
        <f t="shared" si="2"/>
        <v/>
      </c>
      <c r="M661" s="8" t="str">
        <f t="shared" si="7"/>
        <v/>
      </c>
      <c r="N661" s="3" t="str">
        <f t="shared" si="4"/>
        <v>GSTIN &amp; Invoice No not entered</v>
      </c>
      <c r="O661" s="9" t="str">
        <f t="shared" si="5"/>
        <v/>
      </c>
      <c r="P661" s="3" t="str">
        <f t="shared" si="6"/>
        <v/>
      </c>
      <c r="Q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 t="str">
        <f t="shared" si="2"/>
        <v/>
      </c>
      <c r="M662" s="8" t="str">
        <f t="shared" si="7"/>
        <v/>
      </c>
      <c r="N662" s="3" t="str">
        <f t="shared" si="4"/>
        <v>GSTIN &amp; Invoice No not entered</v>
      </c>
      <c r="O662" s="9" t="str">
        <f t="shared" si="5"/>
        <v/>
      </c>
      <c r="P662" s="3" t="str">
        <f t="shared" si="6"/>
        <v/>
      </c>
      <c r="Q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 t="str">
        <f t="shared" si="2"/>
        <v/>
      </c>
      <c r="M663" s="8" t="str">
        <f t="shared" si="7"/>
        <v/>
      </c>
      <c r="N663" s="3" t="str">
        <f t="shared" si="4"/>
        <v>GSTIN &amp; Invoice No not entered</v>
      </c>
      <c r="O663" s="9" t="str">
        <f t="shared" si="5"/>
        <v/>
      </c>
      <c r="P663" s="3" t="str">
        <f t="shared" si="6"/>
        <v/>
      </c>
      <c r="Q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 t="str">
        <f t="shared" si="2"/>
        <v/>
      </c>
      <c r="M664" s="8" t="str">
        <f t="shared" si="7"/>
        <v/>
      </c>
      <c r="N664" s="3" t="str">
        <f t="shared" si="4"/>
        <v>GSTIN &amp; Invoice No not entered</v>
      </c>
      <c r="O664" s="9" t="str">
        <f t="shared" si="5"/>
        <v/>
      </c>
      <c r="P664" s="3" t="str">
        <f t="shared" si="6"/>
        <v/>
      </c>
      <c r="Q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 t="str">
        <f t="shared" si="2"/>
        <v/>
      </c>
      <c r="M665" s="8" t="str">
        <f t="shared" si="7"/>
        <v/>
      </c>
      <c r="N665" s="3" t="str">
        <f t="shared" si="4"/>
        <v>GSTIN &amp; Invoice No not entered</v>
      </c>
      <c r="O665" s="9" t="str">
        <f t="shared" si="5"/>
        <v/>
      </c>
      <c r="P665" s="3" t="str">
        <f t="shared" si="6"/>
        <v/>
      </c>
      <c r="Q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 t="str">
        <f t="shared" si="2"/>
        <v/>
      </c>
      <c r="M666" s="8" t="str">
        <f t="shared" si="7"/>
        <v/>
      </c>
      <c r="N666" s="3" t="str">
        <f t="shared" si="4"/>
        <v>GSTIN &amp; Invoice No not entered</v>
      </c>
      <c r="O666" s="9" t="str">
        <f t="shared" si="5"/>
        <v/>
      </c>
      <c r="P666" s="3" t="str">
        <f t="shared" si="6"/>
        <v/>
      </c>
      <c r="Q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 t="str">
        <f t="shared" si="2"/>
        <v/>
      </c>
      <c r="M667" s="8" t="str">
        <f t="shared" si="7"/>
        <v/>
      </c>
      <c r="N667" s="3" t="str">
        <f t="shared" si="4"/>
        <v>GSTIN &amp; Invoice No not entered</v>
      </c>
      <c r="O667" s="9" t="str">
        <f t="shared" si="5"/>
        <v/>
      </c>
      <c r="P667" s="3" t="str">
        <f t="shared" si="6"/>
        <v/>
      </c>
      <c r="Q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 t="str">
        <f t="shared" si="2"/>
        <v/>
      </c>
      <c r="M668" s="8" t="str">
        <f t="shared" si="7"/>
        <v/>
      </c>
      <c r="N668" s="3" t="str">
        <f t="shared" si="4"/>
        <v>GSTIN &amp; Invoice No not entered</v>
      </c>
      <c r="O668" s="9" t="str">
        <f t="shared" si="5"/>
        <v/>
      </c>
      <c r="P668" s="3" t="str">
        <f t="shared" si="6"/>
        <v/>
      </c>
      <c r="Q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 t="str">
        <f t="shared" si="2"/>
        <v/>
      </c>
      <c r="M669" s="8" t="str">
        <f t="shared" si="7"/>
        <v/>
      </c>
      <c r="N669" s="3" t="str">
        <f t="shared" si="4"/>
        <v>GSTIN &amp; Invoice No not entered</v>
      </c>
      <c r="O669" s="9" t="str">
        <f t="shared" si="5"/>
        <v/>
      </c>
      <c r="P669" s="3" t="str">
        <f t="shared" si="6"/>
        <v/>
      </c>
      <c r="Q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 t="str">
        <f t="shared" si="2"/>
        <v/>
      </c>
      <c r="M670" s="8" t="str">
        <f t="shared" si="7"/>
        <v/>
      </c>
      <c r="N670" s="3" t="str">
        <f t="shared" si="4"/>
        <v>GSTIN &amp; Invoice No not entered</v>
      </c>
      <c r="O670" s="9" t="str">
        <f t="shared" si="5"/>
        <v/>
      </c>
      <c r="P670" s="3" t="str">
        <f t="shared" si="6"/>
        <v/>
      </c>
      <c r="Q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 t="str">
        <f t="shared" si="2"/>
        <v/>
      </c>
      <c r="M671" s="8" t="str">
        <f t="shared" si="7"/>
        <v/>
      </c>
      <c r="N671" s="3" t="str">
        <f t="shared" si="4"/>
        <v>GSTIN &amp; Invoice No not entered</v>
      </c>
      <c r="O671" s="9" t="str">
        <f t="shared" si="5"/>
        <v/>
      </c>
      <c r="P671" s="3" t="str">
        <f t="shared" si="6"/>
        <v/>
      </c>
      <c r="Q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 t="str">
        <f t="shared" si="2"/>
        <v/>
      </c>
      <c r="M672" s="8" t="str">
        <f t="shared" si="7"/>
        <v/>
      </c>
      <c r="N672" s="3" t="str">
        <f t="shared" si="4"/>
        <v>GSTIN &amp; Invoice No not entered</v>
      </c>
      <c r="O672" s="9" t="str">
        <f t="shared" si="5"/>
        <v/>
      </c>
      <c r="P672" s="3" t="str">
        <f t="shared" si="6"/>
        <v/>
      </c>
      <c r="Q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 t="str">
        <f t="shared" si="2"/>
        <v/>
      </c>
      <c r="M673" s="8" t="str">
        <f t="shared" si="7"/>
        <v/>
      </c>
      <c r="N673" s="3" t="str">
        <f t="shared" si="4"/>
        <v>GSTIN &amp; Invoice No not entered</v>
      </c>
      <c r="O673" s="9" t="str">
        <f t="shared" si="5"/>
        <v/>
      </c>
      <c r="P673" s="3" t="str">
        <f t="shared" si="6"/>
        <v/>
      </c>
      <c r="Q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 t="str">
        <f t="shared" si="2"/>
        <v/>
      </c>
      <c r="M674" s="8" t="str">
        <f t="shared" si="7"/>
        <v/>
      </c>
      <c r="N674" s="3" t="str">
        <f t="shared" si="4"/>
        <v>GSTIN &amp; Invoice No not entered</v>
      </c>
      <c r="O674" s="9" t="str">
        <f t="shared" si="5"/>
        <v/>
      </c>
      <c r="P674" s="3" t="str">
        <f t="shared" si="6"/>
        <v/>
      </c>
      <c r="Q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 t="str">
        <f t="shared" si="2"/>
        <v/>
      </c>
      <c r="M675" s="8" t="str">
        <f t="shared" si="7"/>
        <v/>
      </c>
      <c r="N675" s="3" t="str">
        <f t="shared" si="4"/>
        <v>GSTIN &amp; Invoice No not entered</v>
      </c>
      <c r="O675" s="9" t="str">
        <f t="shared" si="5"/>
        <v/>
      </c>
      <c r="P675" s="3" t="str">
        <f t="shared" si="6"/>
        <v/>
      </c>
      <c r="Q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 t="str">
        <f t="shared" si="2"/>
        <v/>
      </c>
      <c r="M676" s="8" t="str">
        <f t="shared" si="7"/>
        <v/>
      </c>
      <c r="N676" s="3" t="str">
        <f t="shared" si="4"/>
        <v>GSTIN &amp; Invoice No not entered</v>
      </c>
      <c r="O676" s="9" t="str">
        <f t="shared" si="5"/>
        <v/>
      </c>
      <c r="P676" s="3" t="str">
        <f t="shared" si="6"/>
        <v/>
      </c>
      <c r="Q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 t="str">
        <f t="shared" si="2"/>
        <v/>
      </c>
      <c r="M677" s="8" t="str">
        <f t="shared" si="7"/>
        <v/>
      </c>
      <c r="N677" s="3" t="str">
        <f t="shared" si="4"/>
        <v>GSTIN &amp; Invoice No not entered</v>
      </c>
      <c r="O677" s="9" t="str">
        <f t="shared" si="5"/>
        <v/>
      </c>
      <c r="P677" s="3" t="str">
        <f t="shared" si="6"/>
        <v/>
      </c>
      <c r="Q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 t="str">
        <f t="shared" si="2"/>
        <v/>
      </c>
      <c r="M678" s="8" t="str">
        <f t="shared" si="7"/>
        <v/>
      </c>
      <c r="N678" s="3" t="str">
        <f t="shared" si="4"/>
        <v>GSTIN &amp; Invoice No not entered</v>
      </c>
      <c r="O678" s="9" t="str">
        <f t="shared" si="5"/>
        <v/>
      </c>
      <c r="P678" s="3" t="str">
        <f t="shared" si="6"/>
        <v/>
      </c>
      <c r="Q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 t="str">
        <f t="shared" si="2"/>
        <v/>
      </c>
      <c r="M679" s="8" t="str">
        <f t="shared" si="7"/>
        <v/>
      </c>
      <c r="N679" s="3" t="str">
        <f t="shared" si="4"/>
        <v>GSTIN &amp; Invoice No not entered</v>
      </c>
      <c r="O679" s="9" t="str">
        <f t="shared" si="5"/>
        <v/>
      </c>
      <c r="P679" s="3" t="str">
        <f t="shared" si="6"/>
        <v/>
      </c>
      <c r="Q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 t="str">
        <f t="shared" si="2"/>
        <v/>
      </c>
      <c r="M680" s="8" t="str">
        <f t="shared" si="7"/>
        <v/>
      </c>
      <c r="N680" s="3" t="str">
        <f t="shared" si="4"/>
        <v>GSTIN &amp; Invoice No not entered</v>
      </c>
      <c r="O680" s="9" t="str">
        <f t="shared" si="5"/>
        <v/>
      </c>
      <c r="P680" s="3" t="str">
        <f t="shared" si="6"/>
        <v/>
      </c>
      <c r="Q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 t="str">
        <f t="shared" si="2"/>
        <v/>
      </c>
      <c r="M681" s="8" t="str">
        <f t="shared" si="7"/>
        <v/>
      </c>
      <c r="N681" s="3" t="str">
        <f t="shared" si="4"/>
        <v>GSTIN &amp; Invoice No not entered</v>
      </c>
      <c r="O681" s="9" t="str">
        <f t="shared" si="5"/>
        <v/>
      </c>
      <c r="P681" s="3" t="str">
        <f t="shared" si="6"/>
        <v/>
      </c>
      <c r="Q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 t="str">
        <f t="shared" si="2"/>
        <v/>
      </c>
      <c r="M682" s="8" t="str">
        <f t="shared" si="7"/>
        <v/>
      </c>
      <c r="N682" s="3" t="str">
        <f t="shared" si="4"/>
        <v>GSTIN &amp; Invoice No not entered</v>
      </c>
      <c r="O682" s="9" t="str">
        <f t="shared" si="5"/>
        <v/>
      </c>
      <c r="P682" s="3" t="str">
        <f t="shared" si="6"/>
        <v/>
      </c>
      <c r="Q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 t="str">
        <f t="shared" si="2"/>
        <v/>
      </c>
      <c r="M683" s="8" t="str">
        <f t="shared" si="7"/>
        <v/>
      </c>
      <c r="N683" s="3" t="str">
        <f t="shared" si="4"/>
        <v>GSTIN &amp; Invoice No not entered</v>
      </c>
      <c r="O683" s="9" t="str">
        <f t="shared" si="5"/>
        <v/>
      </c>
      <c r="P683" s="3" t="str">
        <f t="shared" si="6"/>
        <v/>
      </c>
      <c r="Q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 t="str">
        <f t="shared" si="2"/>
        <v/>
      </c>
      <c r="M684" s="8" t="str">
        <f t="shared" si="7"/>
        <v/>
      </c>
      <c r="N684" s="3" t="str">
        <f t="shared" si="4"/>
        <v>GSTIN &amp; Invoice No not entered</v>
      </c>
      <c r="O684" s="9" t="str">
        <f t="shared" si="5"/>
        <v/>
      </c>
      <c r="P684" s="3" t="str">
        <f t="shared" si="6"/>
        <v/>
      </c>
      <c r="Q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 t="str">
        <f t="shared" si="2"/>
        <v/>
      </c>
      <c r="M685" s="8" t="str">
        <f t="shared" si="7"/>
        <v/>
      </c>
      <c r="N685" s="3" t="str">
        <f t="shared" si="4"/>
        <v>GSTIN &amp; Invoice No not entered</v>
      </c>
      <c r="O685" s="9" t="str">
        <f t="shared" si="5"/>
        <v/>
      </c>
      <c r="P685" s="3" t="str">
        <f t="shared" si="6"/>
        <v/>
      </c>
      <c r="Q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 t="str">
        <f t="shared" si="2"/>
        <v/>
      </c>
      <c r="M686" s="8" t="str">
        <f t="shared" si="7"/>
        <v/>
      </c>
      <c r="N686" s="3" t="str">
        <f t="shared" si="4"/>
        <v>GSTIN &amp; Invoice No not entered</v>
      </c>
      <c r="O686" s="9" t="str">
        <f t="shared" si="5"/>
        <v/>
      </c>
      <c r="P686" s="3" t="str">
        <f t="shared" si="6"/>
        <v/>
      </c>
      <c r="Q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 t="str">
        <f t="shared" si="2"/>
        <v/>
      </c>
      <c r="M687" s="8" t="str">
        <f t="shared" si="7"/>
        <v/>
      </c>
      <c r="N687" s="3" t="str">
        <f t="shared" si="4"/>
        <v>GSTIN &amp; Invoice No not entered</v>
      </c>
      <c r="O687" s="9" t="str">
        <f t="shared" si="5"/>
        <v/>
      </c>
      <c r="P687" s="3" t="str">
        <f t="shared" si="6"/>
        <v/>
      </c>
      <c r="Q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 t="str">
        <f t="shared" si="2"/>
        <v/>
      </c>
      <c r="M688" s="8" t="str">
        <f t="shared" si="7"/>
        <v/>
      </c>
      <c r="N688" s="3" t="str">
        <f t="shared" si="4"/>
        <v>GSTIN &amp; Invoice No not entered</v>
      </c>
      <c r="O688" s="9" t="str">
        <f t="shared" si="5"/>
        <v/>
      </c>
      <c r="P688" s="3" t="str">
        <f t="shared" si="6"/>
        <v/>
      </c>
      <c r="Q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 t="str">
        <f t="shared" si="2"/>
        <v/>
      </c>
      <c r="M689" s="8" t="str">
        <f t="shared" si="7"/>
        <v/>
      </c>
      <c r="N689" s="3" t="str">
        <f t="shared" si="4"/>
        <v>GSTIN &amp; Invoice No not entered</v>
      </c>
      <c r="O689" s="9" t="str">
        <f t="shared" si="5"/>
        <v/>
      </c>
      <c r="P689" s="3" t="str">
        <f t="shared" si="6"/>
        <v/>
      </c>
      <c r="Q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 t="str">
        <f t="shared" si="2"/>
        <v/>
      </c>
      <c r="M690" s="8" t="str">
        <f t="shared" si="7"/>
        <v/>
      </c>
      <c r="N690" s="3" t="str">
        <f t="shared" si="4"/>
        <v>GSTIN &amp; Invoice No not entered</v>
      </c>
      <c r="O690" s="9" t="str">
        <f t="shared" si="5"/>
        <v/>
      </c>
      <c r="P690" s="3" t="str">
        <f t="shared" si="6"/>
        <v/>
      </c>
      <c r="Q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 t="str">
        <f t="shared" si="2"/>
        <v/>
      </c>
      <c r="M691" s="8" t="str">
        <f t="shared" si="7"/>
        <v/>
      </c>
      <c r="N691" s="3" t="str">
        <f t="shared" si="4"/>
        <v>GSTIN &amp; Invoice No not entered</v>
      </c>
      <c r="O691" s="9" t="str">
        <f t="shared" si="5"/>
        <v/>
      </c>
      <c r="P691" s="3" t="str">
        <f t="shared" si="6"/>
        <v/>
      </c>
      <c r="Q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 t="str">
        <f t="shared" si="2"/>
        <v/>
      </c>
      <c r="M692" s="8" t="str">
        <f t="shared" si="7"/>
        <v/>
      </c>
      <c r="N692" s="3" t="str">
        <f t="shared" si="4"/>
        <v>GSTIN &amp; Invoice No not entered</v>
      </c>
      <c r="O692" s="9" t="str">
        <f t="shared" si="5"/>
        <v/>
      </c>
      <c r="P692" s="3" t="str">
        <f t="shared" si="6"/>
        <v/>
      </c>
      <c r="Q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 t="str">
        <f t="shared" si="2"/>
        <v/>
      </c>
      <c r="M693" s="8" t="str">
        <f t="shared" si="7"/>
        <v/>
      </c>
      <c r="N693" s="3" t="str">
        <f t="shared" si="4"/>
        <v>GSTIN &amp; Invoice No not entered</v>
      </c>
      <c r="O693" s="9" t="str">
        <f t="shared" si="5"/>
        <v/>
      </c>
      <c r="P693" s="3" t="str">
        <f t="shared" si="6"/>
        <v/>
      </c>
      <c r="Q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 t="str">
        <f t="shared" si="2"/>
        <v/>
      </c>
      <c r="M694" s="8" t="str">
        <f t="shared" si="7"/>
        <v/>
      </c>
      <c r="N694" s="3" t="str">
        <f t="shared" si="4"/>
        <v>GSTIN &amp; Invoice No not entered</v>
      </c>
      <c r="O694" s="9" t="str">
        <f t="shared" si="5"/>
        <v/>
      </c>
      <c r="P694" s="3" t="str">
        <f t="shared" si="6"/>
        <v/>
      </c>
      <c r="Q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 t="str">
        <f t="shared" si="2"/>
        <v/>
      </c>
      <c r="M695" s="8" t="str">
        <f t="shared" si="7"/>
        <v/>
      </c>
      <c r="N695" s="3" t="str">
        <f t="shared" si="4"/>
        <v>GSTIN &amp; Invoice No not entered</v>
      </c>
      <c r="O695" s="9" t="str">
        <f t="shared" si="5"/>
        <v/>
      </c>
      <c r="P695" s="3" t="str">
        <f t="shared" si="6"/>
        <v/>
      </c>
      <c r="Q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 t="str">
        <f t="shared" si="2"/>
        <v/>
      </c>
      <c r="M696" s="8" t="str">
        <f t="shared" si="7"/>
        <v/>
      </c>
      <c r="N696" s="3" t="str">
        <f t="shared" si="4"/>
        <v>GSTIN &amp; Invoice No not entered</v>
      </c>
      <c r="O696" s="9" t="str">
        <f t="shared" si="5"/>
        <v/>
      </c>
      <c r="P696" s="3" t="str">
        <f t="shared" si="6"/>
        <v/>
      </c>
      <c r="Q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 t="str">
        <f t="shared" si="2"/>
        <v/>
      </c>
      <c r="M697" s="8" t="str">
        <f t="shared" si="7"/>
        <v/>
      </c>
      <c r="N697" s="3" t="str">
        <f t="shared" si="4"/>
        <v>GSTIN &amp; Invoice No not entered</v>
      </c>
      <c r="O697" s="9" t="str">
        <f t="shared" si="5"/>
        <v/>
      </c>
      <c r="P697" s="3" t="str">
        <f t="shared" si="6"/>
        <v/>
      </c>
      <c r="Q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 t="str">
        <f t="shared" si="2"/>
        <v/>
      </c>
      <c r="M698" s="8" t="str">
        <f t="shared" si="7"/>
        <v/>
      </c>
      <c r="N698" s="3" t="str">
        <f t="shared" si="4"/>
        <v>GSTIN &amp; Invoice No not entered</v>
      </c>
      <c r="O698" s="9" t="str">
        <f t="shared" si="5"/>
        <v/>
      </c>
      <c r="P698" s="3" t="str">
        <f t="shared" si="6"/>
        <v/>
      </c>
      <c r="Q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 t="str">
        <f t="shared" si="2"/>
        <v/>
      </c>
      <c r="M699" s="8" t="str">
        <f t="shared" si="7"/>
        <v/>
      </c>
      <c r="N699" s="3" t="str">
        <f t="shared" si="4"/>
        <v>GSTIN &amp; Invoice No not entered</v>
      </c>
      <c r="O699" s="9" t="str">
        <f t="shared" si="5"/>
        <v/>
      </c>
      <c r="P699" s="3" t="str">
        <f t="shared" si="6"/>
        <v/>
      </c>
      <c r="Q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 t="str">
        <f t="shared" si="2"/>
        <v/>
      </c>
      <c r="M700" s="8" t="str">
        <f t="shared" si="7"/>
        <v/>
      </c>
      <c r="N700" s="3" t="str">
        <f t="shared" si="4"/>
        <v>GSTIN &amp; Invoice No not entered</v>
      </c>
      <c r="O700" s="9" t="str">
        <f t="shared" si="5"/>
        <v/>
      </c>
      <c r="P700" s="3" t="str">
        <f t="shared" si="6"/>
        <v/>
      </c>
      <c r="Q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 t="str">
        <f t="shared" si="2"/>
        <v/>
      </c>
      <c r="M701" s="8" t="str">
        <f t="shared" si="7"/>
        <v/>
      </c>
      <c r="N701" s="3" t="str">
        <f t="shared" si="4"/>
        <v>GSTIN &amp; Invoice No not entered</v>
      </c>
      <c r="O701" s="9" t="str">
        <f t="shared" si="5"/>
        <v/>
      </c>
      <c r="P701" s="3" t="str">
        <f t="shared" si="6"/>
        <v/>
      </c>
      <c r="Q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 t="str">
        <f t="shared" si="2"/>
        <v/>
      </c>
      <c r="M702" s="8" t="str">
        <f t="shared" si="7"/>
        <v/>
      </c>
      <c r="N702" s="3" t="str">
        <f t="shared" si="4"/>
        <v>GSTIN &amp; Invoice No not entered</v>
      </c>
      <c r="O702" s="9" t="str">
        <f t="shared" si="5"/>
        <v/>
      </c>
      <c r="P702" s="3" t="str">
        <f t="shared" si="6"/>
        <v/>
      </c>
      <c r="Q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 t="str">
        <f t="shared" si="2"/>
        <v/>
      </c>
      <c r="M703" s="8" t="str">
        <f t="shared" si="7"/>
        <v/>
      </c>
      <c r="N703" s="3" t="str">
        <f t="shared" si="4"/>
        <v>GSTIN &amp; Invoice No not entered</v>
      </c>
      <c r="O703" s="9" t="str">
        <f t="shared" si="5"/>
        <v/>
      </c>
      <c r="P703" s="3" t="str">
        <f t="shared" si="6"/>
        <v/>
      </c>
      <c r="Q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 t="str">
        <f t="shared" si="2"/>
        <v/>
      </c>
      <c r="M704" s="8" t="str">
        <f t="shared" si="7"/>
        <v/>
      </c>
      <c r="N704" s="3" t="str">
        <f t="shared" si="4"/>
        <v>GSTIN &amp; Invoice No not entered</v>
      </c>
      <c r="O704" s="9" t="str">
        <f t="shared" si="5"/>
        <v/>
      </c>
      <c r="P704" s="3" t="str">
        <f t="shared" si="6"/>
        <v/>
      </c>
      <c r="Q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 t="str">
        <f t="shared" si="2"/>
        <v/>
      </c>
      <c r="M705" s="8" t="str">
        <f t="shared" si="7"/>
        <v/>
      </c>
      <c r="N705" s="3" t="str">
        <f t="shared" si="4"/>
        <v>GSTIN &amp; Invoice No not entered</v>
      </c>
      <c r="O705" s="9" t="str">
        <f t="shared" si="5"/>
        <v/>
      </c>
      <c r="P705" s="3" t="str">
        <f t="shared" si="6"/>
        <v/>
      </c>
      <c r="Q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 t="str">
        <f t="shared" si="2"/>
        <v/>
      </c>
      <c r="M706" s="8" t="str">
        <f t="shared" si="7"/>
        <v/>
      </c>
      <c r="N706" s="3" t="str">
        <f t="shared" si="4"/>
        <v>GSTIN &amp; Invoice No not entered</v>
      </c>
      <c r="O706" s="9" t="str">
        <f t="shared" si="5"/>
        <v/>
      </c>
      <c r="P706" s="3" t="str">
        <f t="shared" si="6"/>
        <v/>
      </c>
      <c r="Q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 t="str">
        <f t="shared" si="2"/>
        <v/>
      </c>
      <c r="M707" s="8" t="str">
        <f t="shared" si="7"/>
        <v/>
      </c>
      <c r="N707" s="3" t="str">
        <f t="shared" si="4"/>
        <v>GSTIN &amp; Invoice No not entered</v>
      </c>
      <c r="O707" s="9" t="str">
        <f t="shared" si="5"/>
        <v/>
      </c>
      <c r="P707" s="3" t="str">
        <f t="shared" si="6"/>
        <v/>
      </c>
      <c r="Q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 t="str">
        <f t="shared" si="2"/>
        <v/>
      </c>
      <c r="M708" s="8" t="str">
        <f t="shared" si="7"/>
        <v/>
      </c>
      <c r="N708" s="3" t="str">
        <f t="shared" si="4"/>
        <v>GSTIN &amp; Invoice No not entered</v>
      </c>
      <c r="O708" s="9" t="str">
        <f t="shared" si="5"/>
        <v/>
      </c>
      <c r="P708" s="3" t="str">
        <f t="shared" si="6"/>
        <v/>
      </c>
      <c r="Q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 t="str">
        <f t="shared" si="2"/>
        <v/>
      </c>
      <c r="M709" s="8" t="str">
        <f t="shared" si="7"/>
        <v/>
      </c>
      <c r="N709" s="3" t="str">
        <f t="shared" si="4"/>
        <v>GSTIN &amp; Invoice No not entered</v>
      </c>
      <c r="O709" s="9" t="str">
        <f t="shared" si="5"/>
        <v/>
      </c>
      <c r="P709" s="3" t="str">
        <f t="shared" si="6"/>
        <v/>
      </c>
      <c r="Q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 t="str">
        <f t="shared" si="2"/>
        <v/>
      </c>
      <c r="M710" s="8" t="str">
        <f t="shared" si="7"/>
        <v/>
      </c>
      <c r="N710" s="3" t="str">
        <f t="shared" si="4"/>
        <v>GSTIN &amp; Invoice No not entered</v>
      </c>
      <c r="O710" s="9" t="str">
        <f t="shared" si="5"/>
        <v/>
      </c>
      <c r="P710" s="3" t="str">
        <f t="shared" si="6"/>
        <v/>
      </c>
      <c r="Q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 t="str">
        <f t="shared" si="2"/>
        <v/>
      </c>
      <c r="M711" s="8" t="str">
        <f t="shared" si="7"/>
        <v/>
      </c>
      <c r="N711" s="3" t="str">
        <f t="shared" si="4"/>
        <v>GSTIN &amp; Invoice No not entered</v>
      </c>
      <c r="O711" s="9" t="str">
        <f t="shared" si="5"/>
        <v/>
      </c>
      <c r="P711" s="3" t="str">
        <f t="shared" si="6"/>
        <v/>
      </c>
      <c r="Q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 t="str">
        <f t="shared" si="2"/>
        <v/>
      </c>
      <c r="M712" s="8" t="str">
        <f t="shared" si="7"/>
        <v/>
      </c>
      <c r="N712" s="3" t="str">
        <f t="shared" si="4"/>
        <v>GSTIN &amp; Invoice No not entered</v>
      </c>
      <c r="O712" s="9" t="str">
        <f t="shared" si="5"/>
        <v/>
      </c>
      <c r="P712" s="3" t="str">
        <f t="shared" si="6"/>
        <v/>
      </c>
      <c r="Q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 t="str">
        <f t="shared" si="2"/>
        <v/>
      </c>
      <c r="M713" s="8" t="str">
        <f t="shared" si="7"/>
        <v/>
      </c>
      <c r="N713" s="3" t="str">
        <f t="shared" si="4"/>
        <v>GSTIN &amp; Invoice No not entered</v>
      </c>
      <c r="O713" s="9" t="str">
        <f t="shared" si="5"/>
        <v/>
      </c>
      <c r="P713" s="3" t="str">
        <f t="shared" si="6"/>
        <v/>
      </c>
      <c r="Q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 t="str">
        <f t="shared" si="2"/>
        <v/>
      </c>
      <c r="M714" s="8" t="str">
        <f t="shared" si="7"/>
        <v/>
      </c>
      <c r="N714" s="3" t="str">
        <f t="shared" si="4"/>
        <v>GSTIN &amp; Invoice No not entered</v>
      </c>
      <c r="O714" s="9" t="str">
        <f t="shared" si="5"/>
        <v/>
      </c>
      <c r="P714" s="3" t="str">
        <f t="shared" si="6"/>
        <v/>
      </c>
      <c r="Q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 t="str">
        <f t="shared" si="2"/>
        <v/>
      </c>
      <c r="M715" s="8" t="str">
        <f t="shared" si="7"/>
        <v/>
      </c>
      <c r="N715" s="3" t="str">
        <f t="shared" si="4"/>
        <v>GSTIN &amp; Invoice No not entered</v>
      </c>
      <c r="O715" s="9" t="str">
        <f t="shared" si="5"/>
        <v/>
      </c>
      <c r="P715" s="3" t="str">
        <f t="shared" si="6"/>
        <v/>
      </c>
      <c r="Q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 t="str">
        <f t="shared" si="2"/>
        <v/>
      </c>
      <c r="M716" s="8" t="str">
        <f t="shared" si="7"/>
        <v/>
      </c>
      <c r="N716" s="3" t="str">
        <f t="shared" si="4"/>
        <v>GSTIN &amp; Invoice No not entered</v>
      </c>
      <c r="O716" s="9" t="str">
        <f t="shared" si="5"/>
        <v/>
      </c>
      <c r="P716" s="3" t="str">
        <f t="shared" si="6"/>
        <v/>
      </c>
      <c r="Q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 t="str">
        <f t="shared" si="2"/>
        <v/>
      </c>
      <c r="M717" s="8" t="str">
        <f t="shared" si="7"/>
        <v/>
      </c>
      <c r="N717" s="3" t="str">
        <f t="shared" si="4"/>
        <v>GSTIN &amp; Invoice No not entered</v>
      </c>
      <c r="O717" s="9" t="str">
        <f t="shared" si="5"/>
        <v/>
      </c>
      <c r="P717" s="3" t="str">
        <f t="shared" si="6"/>
        <v/>
      </c>
      <c r="Q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 t="str">
        <f t="shared" si="2"/>
        <v/>
      </c>
      <c r="M718" s="8" t="str">
        <f t="shared" si="7"/>
        <v/>
      </c>
      <c r="N718" s="3" t="str">
        <f t="shared" si="4"/>
        <v>GSTIN &amp; Invoice No not entered</v>
      </c>
      <c r="O718" s="9" t="str">
        <f t="shared" si="5"/>
        <v/>
      </c>
      <c r="P718" s="3" t="str">
        <f t="shared" si="6"/>
        <v/>
      </c>
      <c r="Q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 t="str">
        <f t="shared" si="2"/>
        <v/>
      </c>
      <c r="M719" s="8" t="str">
        <f t="shared" si="7"/>
        <v/>
      </c>
      <c r="N719" s="3" t="str">
        <f t="shared" si="4"/>
        <v>GSTIN &amp; Invoice No not entered</v>
      </c>
      <c r="O719" s="9" t="str">
        <f t="shared" si="5"/>
        <v/>
      </c>
      <c r="P719" s="3" t="str">
        <f t="shared" si="6"/>
        <v/>
      </c>
      <c r="Q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 t="str">
        <f t="shared" si="2"/>
        <v/>
      </c>
      <c r="M720" s="8" t="str">
        <f t="shared" si="7"/>
        <v/>
      </c>
      <c r="N720" s="3" t="str">
        <f t="shared" si="4"/>
        <v>GSTIN &amp; Invoice No not entered</v>
      </c>
      <c r="O720" s="9" t="str">
        <f t="shared" si="5"/>
        <v/>
      </c>
      <c r="P720" s="3" t="str">
        <f t="shared" si="6"/>
        <v/>
      </c>
      <c r="Q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 t="str">
        <f t="shared" si="2"/>
        <v/>
      </c>
      <c r="M721" s="8" t="str">
        <f t="shared" si="7"/>
        <v/>
      </c>
      <c r="N721" s="3" t="str">
        <f t="shared" si="4"/>
        <v>GSTIN &amp; Invoice No not entered</v>
      </c>
      <c r="O721" s="9" t="str">
        <f t="shared" si="5"/>
        <v/>
      </c>
      <c r="P721" s="3" t="str">
        <f t="shared" si="6"/>
        <v/>
      </c>
      <c r="Q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 t="str">
        <f t="shared" si="2"/>
        <v/>
      </c>
      <c r="M722" s="8" t="str">
        <f t="shared" si="7"/>
        <v/>
      </c>
      <c r="N722" s="3" t="str">
        <f t="shared" si="4"/>
        <v>GSTIN &amp; Invoice No not entered</v>
      </c>
      <c r="O722" s="9" t="str">
        <f t="shared" si="5"/>
        <v/>
      </c>
      <c r="P722" s="3" t="str">
        <f t="shared" si="6"/>
        <v/>
      </c>
      <c r="Q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 t="str">
        <f t="shared" si="2"/>
        <v/>
      </c>
      <c r="M723" s="8" t="str">
        <f t="shared" si="7"/>
        <v/>
      </c>
      <c r="N723" s="3" t="str">
        <f t="shared" si="4"/>
        <v>GSTIN &amp; Invoice No not entered</v>
      </c>
      <c r="O723" s="9" t="str">
        <f t="shared" si="5"/>
        <v/>
      </c>
      <c r="P723" s="3" t="str">
        <f t="shared" si="6"/>
        <v/>
      </c>
      <c r="Q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 t="str">
        <f t="shared" si="2"/>
        <v/>
      </c>
      <c r="M724" s="8" t="str">
        <f t="shared" si="7"/>
        <v/>
      </c>
      <c r="N724" s="3" t="str">
        <f t="shared" si="4"/>
        <v>GSTIN &amp; Invoice No not entered</v>
      </c>
      <c r="O724" s="9" t="str">
        <f t="shared" si="5"/>
        <v/>
      </c>
      <c r="P724" s="3" t="str">
        <f t="shared" si="6"/>
        <v/>
      </c>
      <c r="Q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 t="str">
        <f t="shared" si="2"/>
        <v/>
      </c>
      <c r="M725" s="8" t="str">
        <f t="shared" si="7"/>
        <v/>
      </c>
      <c r="N725" s="3" t="str">
        <f t="shared" si="4"/>
        <v>GSTIN &amp; Invoice No not entered</v>
      </c>
      <c r="O725" s="9" t="str">
        <f t="shared" si="5"/>
        <v/>
      </c>
      <c r="P725" s="3" t="str">
        <f t="shared" si="6"/>
        <v/>
      </c>
      <c r="Q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 t="str">
        <f t="shared" si="2"/>
        <v/>
      </c>
      <c r="M726" s="8" t="str">
        <f t="shared" si="7"/>
        <v/>
      </c>
      <c r="N726" s="3" t="str">
        <f t="shared" si="4"/>
        <v>GSTIN &amp; Invoice No not entered</v>
      </c>
      <c r="O726" s="9" t="str">
        <f t="shared" si="5"/>
        <v/>
      </c>
      <c r="P726" s="3" t="str">
        <f t="shared" si="6"/>
        <v/>
      </c>
      <c r="Q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 t="str">
        <f t="shared" si="2"/>
        <v/>
      </c>
      <c r="M727" s="8" t="str">
        <f t="shared" si="7"/>
        <v/>
      </c>
      <c r="N727" s="3" t="str">
        <f t="shared" si="4"/>
        <v>GSTIN &amp; Invoice No not entered</v>
      </c>
      <c r="O727" s="9" t="str">
        <f t="shared" si="5"/>
        <v/>
      </c>
      <c r="P727" s="3" t="str">
        <f t="shared" si="6"/>
        <v/>
      </c>
      <c r="Q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 t="str">
        <f t="shared" si="2"/>
        <v/>
      </c>
      <c r="M728" s="8" t="str">
        <f t="shared" si="7"/>
        <v/>
      </c>
      <c r="N728" s="3" t="str">
        <f t="shared" si="4"/>
        <v>GSTIN &amp; Invoice No not entered</v>
      </c>
      <c r="O728" s="9" t="str">
        <f t="shared" si="5"/>
        <v/>
      </c>
      <c r="P728" s="3" t="str">
        <f t="shared" si="6"/>
        <v/>
      </c>
      <c r="Q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 t="str">
        <f t="shared" si="2"/>
        <v/>
      </c>
      <c r="M729" s="8" t="str">
        <f t="shared" si="7"/>
        <v/>
      </c>
      <c r="N729" s="3" t="str">
        <f t="shared" si="4"/>
        <v>GSTIN &amp; Invoice No not entered</v>
      </c>
      <c r="O729" s="9" t="str">
        <f t="shared" si="5"/>
        <v/>
      </c>
      <c r="P729" s="3" t="str">
        <f t="shared" si="6"/>
        <v/>
      </c>
      <c r="Q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 t="str">
        <f t="shared" si="2"/>
        <v/>
      </c>
      <c r="M730" s="8" t="str">
        <f t="shared" si="7"/>
        <v/>
      </c>
      <c r="N730" s="3" t="str">
        <f t="shared" si="4"/>
        <v>GSTIN &amp; Invoice No not entered</v>
      </c>
      <c r="O730" s="9" t="str">
        <f t="shared" si="5"/>
        <v/>
      </c>
      <c r="P730" s="3" t="str">
        <f t="shared" si="6"/>
        <v/>
      </c>
      <c r="Q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 t="str">
        <f t="shared" si="2"/>
        <v/>
      </c>
      <c r="M731" s="8" t="str">
        <f t="shared" si="7"/>
        <v/>
      </c>
      <c r="N731" s="3" t="str">
        <f t="shared" si="4"/>
        <v>GSTIN &amp; Invoice No not entered</v>
      </c>
      <c r="O731" s="9" t="str">
        <f t="shared" si="5"/>
        <v/>
      </c>
      <c r="P731" s="3" t="str">
        <f t="shared" si="6"/>
        <v/>
      </c>
      <c r="Q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 t="str">
        <f t="shared" si="2"/>
        <v/>
      </c>
      <c r="M732" s="8" t="str">
        <f t="shared" si="7"/>
        <v/>
      </c>
      <c r="N732" s="3" t="str">
        <f t="shared" si="4"/>
        <v>GSTIN &amp; Invoice No not entered</v>
      </c>
      <c r="O732" s="9" t="str">
        <f t="shared" si="5"/>
        <v/>
      </c>
      <c r="P732" s="3" t="str">
        <f t="shared" si="6"/>
        <v/>
      </c>
      <c r="Q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 t="str">
        <f t="shared" si="2"/>
        <v/>
      </c>
      <c r="M733" s="8" t="str">
        <f t="shared" si="7"/>
        <v/>
      </c>
      <c r="N733" s="3" t="str">
        <f t="shared" si="4"/>
        <v>GSTIN &amp; Invoice No not entered</v>
      </c>
      <c r="O733" s="9" t="str">
        <f t="shared" si="5"/>
        <v/>
      </c>
      <c r="P733" s="3" t="str">
        <f t="shared" si="6"/>
        <v/>
      </c>
      <c r="Q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 t="str">
        <f t="shared" si="2"/>
        <v/>
      </c>
      <c r="M734" s="8" t="str">
        <f t="shared" si="7"/>
        <v/>
      </c>
      <c r="N734" s="3" t="str">
        <f t="shared" si="4"/>
        <v>GSTIN &amp; Invoice No not entered</v>
      </c>
      <c r="O734" s="9" t="str">
        <f t="shared" si="5"/>
        <v/>
      </c>
      <c r="P734" s="3" t="str">
        <f t="shared" si="6"/>
        <v/>
      </c>
      <c r="Q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 t="str">
        <f t="shared" si="2"/>
        <v/>
      </c>
      <c r="M735" s="8" t="str">
        <f t="shared" si="7"/>
        <v/>
      </c>
      <c r="N735" s="3" t="str">
        <f t="shared" si="4"/>
        <v>GSTIN &amp; Invoice No not entered</v>
      </c>
      <c r="O735" s="9" t="str">
        <f t="shared" si="5"/>
        <v/>
      </c>
      <c r="P735" s="3" t="str">
        <f t="shared" si="6"/>
        <v/>
      </c>
      <c r="Q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 t="str">
        <f t="shared" si="2"/>
        <v/>
      </c>
      <c r="M736" s="8" t="str">
        <f t="shared" si="7"/>
        <v/>
      </c>
      <c r="N736" s="3" t="str">
        <f t="shared" si="4"/>
        <v>GSTIN &amp; Invoice No not entered</v>
      </c>
      <c r="O736" s="9" t="str">
        <f t="shared" si="5"/>
        <v/>
      </c>
      <c r="P736" s="3" t="str">
        <f t="shared" si="6"/>
        <v/>
      </c>
      <c r="Q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 t="str">
        <f t="shared" si="2"/>
        <v/>
      </c>
      <c r="M737" s="8" t="str">
        <f t="shared" si="7"/>
        <v/>
      </c>
      <c r="N737" s="3" t="str">
        <f t="shared" si="4"/>
        <v>GSTIN &amp; Invoice No not entered</v>
      </c>
      <c r="O737" s="9" t="str">
        <f t="shared" si="5"/>
        <v/>
      </c>
      <c r="P737" s="3" t="str">
        <f t="shared" si="6"/>
        <v/>
      </c>
      <c r="Q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 t="str">
        <f t="shared" si="2"/>
        <v/>
      </c>
      <c r="M738" s="8" t="str">
        <f t="shared" si="7"/>
        <v/>
      </c>
      <c r="N738" s="3" t="str">
        <f t="shared" si="4"/>
        <v>GSTIN &amp; Invoice No not entered</v>
      </c>
      <c r="O738" s="9" t="str">
        <f t="shared" si="5"/>
        <v/>
      </c>
      <c r="P738" s="3" t="str">
        <f t="shared" si="6"/>
        <v/>
      </c>
      <c r="Q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 t="str">
        <f t="shared" si="2"/>
        <v/>
      </c>
      <c r="M739" s="8" t="str">
        <f t="shared" si="7"/>
        <v/>
      </c>
      <c r="N739" s="3" t="str">
        <f t="shared" si="4"/>
        <v>GSTIN &amp; Invoice No not entered</v>
      </c>
      <c r="O739" s="9" t="str">
        <f t="shared" si="5"/>
        <v/>
      </c>
      <c r="P739" s="3" t="str">
        <f t="shared" si="6"/>
        <v/>
      </c>
      <c r="Q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 t="str">
        <f t="shared" si="2"/>
        <v/>
      </c>
      <c r="M740" s="8" t="str">
        <f t="shared" si="7"/>
        <v/>
      </c>
      <c r="N740" s="3" t="str">
        <f t="shared" si="4"/>
        <v>GSTIN &amp; Invoice No not entered</v>
      </c>
      <c r="O740" s="9" t="str">
        <f t="shared" si="5"/>
        <v/>
      </c>
      <c r="P740" s="3" t="str">
        <f t="shared" si="6"/>
        <v/>
      </c>
      <c r="Q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 t="str">
        <f t="shared" si="2"/>
        <v/>
      </c>
      <c r="M741" s="8" t="str">
        <f t="shared" si="7"/>
        <v/>
      </c>
      <c r="N741" s="3" t="str">
        <f t="shared" si="4"/>
        <v>GSTIN &amp; Invoice No not entered</v>
      </c>
      <c r="O741" s="9" t="str">
        <f t="shared" si="5"/>
        <v/>
      </c>
      <c r="P741" s="3" t="str">
        <f t="shared" si="6"/>
        <v/>
      </c>
      <c r="Q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 t="str">
        <f t="shared" si="2"/>
        <v/>
      </c>
      <c r="M742" s="8" t="str">
        <f t="shared" si="7"/>
        <v/>
      </c>
      <c r="N742" s="3" t="str">
        <f t="shared" si="4"/>
        <v>GSTIN &amp; Invoice No not entered</v>
      </c>
      <c r="O742" s="9" t="str">
        <f t="shared" si="5"/>
        <v/>
      </c>
      <c r="P742" s="3" t="str">
        <f t="shared" si="6"/>
        <v/>
      </c>
      <c r="Q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 t="str">
        <f t="shared" si="2"/>
        <v/>
      </c>
      <c r="M743" s="8" t="str">
        <f t="shared" si="7"/>
        <v/>
      </c>
      <c r="N743" s="3" t="str">
        <f t="shared" si="4"/>
        <v>GSTIN &amp; Invoice No not entered</v>
      </c>
      <c r="O743" s="9" t="str">
        <f t="shared" si="5"/>
        <v/>
      </c>
      <c r="P743" s="3" t="str">
        <f t="shared" si="6"/>
        <v/>
      </c>
      <c r="Q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 t="str">
        <f t="shared" si="2"/>
        <v/>
      </c>
      <c r="M744" s="8" t="str">
        <f t="shared" si="7"/>
        <v/>
      </c>
      <c r="N744" s="3" t="str">
        <f t="shared" si="4"/>
        <v>GSTIN &amp; Invoice No not entered</v>
      </c>
      <c r="O744" s="9" t="str">
        <f t="shared" si="5"/>
        <v/>
      </c>
      <c r="P744" s="3" t="str">
        <f t="shared" si="6"/>
        <v/>
      </c>
      <c r="Q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 t="str">
        <f t="shared" si="2"/>
        <v/>
      </c>
      <c r="M745" s="8" t="str">
        <f t="shared" si="7"/>
        <v/>
      </c>
      <c r="N745" s="3" t="str">
        <f t="shared" si="4"/>
        <v>GSTIN &amp; Invoice No not entered</v>
      </c>
      <c r="O745" s="9" t="str">
        <f t="shared" si="5"/>
        <v/>
      </c>
      <c r="P745" s="3" t="str">
        <f t="shared" si="6"/>
        <v/>
      </c>
      <c r="Q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 t="str">
        <f t="shared" si="2"/>
        <v/>
      </c>
      <c r="M746" s="8" t="str">
        <f t="shared" si="7"/>
        <v/>
      </c>
      <c r="N746" s="3" t="str">
        <f t="shared" si="4"/>
        <v>GSTIN &amp; Invoice No not entered</v>
      </c>
      <c r="O746" s="9" t="str">
        <f t="shared" si="5"/>
        <v/>
      </c>
      <c r="P746" s="3" t="str">
        <f t="shared" si="6"/>
        <v/>
      </c>
      <c r="Q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 t="str">
        <f t="shared" si="2"/>
        <v/>
      </c>
      <c r="M747" s="8" t="str">
        <f t="shared" si="7"/>
        <v/>
      </c>
      <c r="N747" s="3" t="str">
        <f t="shared" si="4"/>
        <v>GSTIN &amp; Invoice No not entered</v>
      </c>
      <c r="O747" s="9" t="str">
        <f t="shared" si="5"/>
        <v/>
      </c>
      <c r="P747" s="3" t="str">
        <f t="shared" si="6"/>
        <v/>
      </c>
      <c r="Q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 t="str">
        <f t="shared" si="2"/>
        <v/>
      </c>
      <c r="M748" s="8" t="str">
        <f t="shared" si="7"/>
        <v/>
      </c>
      <c r="N748" s="3" t="str">
        <f t="shared" si="4"/>
        <v>GSTIN &amp; Invoice No not entered</v>
      </c>
      <c r="O748" s="9" t="str">
        <f t="shared" si="5"/>
        <v/>
      </c>
      <c r="P748" s="3" t="str">
        <f t="shared" si="6"/>
        <v/>
      </c>
      <c r="Q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 t="str">
        <f t="shared" si="2"/>
        <v/>
      </c>
      <c r="M749" s="8" t="str">
        <f t="shared" si="7"/>
        <v/>
      </c>
      <c r="N749" s="3" t="str">
        <f t="shared" si="4"/>
        <v>GSTIN &amp; Invoice No not entered</v>
      </c>
      <c r="O749" s="9" t="str">
        <f t="shared" si="5"/>
        <v/>
      </c>
      <c r="P749" s="3" t="str">
        <f t="shared" si="6"/>
        <v/>
      </c>
      <c r="Q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 t="str">
        <f t="shared" si="2"/>
        <v/>
      </c>
      <c r="M750" s="8" t="str">
        <f t="shared" si="7"/>
        <v/>
      </c>
      <c r="N750" s="3" t="str">
        <f t="shared" si="4"/>
        <v>GSTIN &amp; Invoice No not entered</v>
      </c>
      <c r="O750" s="9" t="str">
        <f t="shared" si="5"/>
        <v/>
      </c>
      <c r="P750" s="3" t="str">
        <f t="shared" si="6"/>
        <v/>
      </c>
      <c r="Q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 t="str">
        <f t="shared" si="2"/>
        <v/>
      </c>
      <c r="M751" s="8" t="str">
        <f t="shared" si="7"/>
        <v/>
      </c>
      <c r="N751" s="3" t="str">
        <f t="shared" si="4"/>
        <v>GSTIN &amp; Invoice No not entered</v>
      </c>
      <c r="O751" s="9" t="str">
        <f t="shared" si="5"/>
        <v/>
      </c>
      <c r="P751" s="3" t="str">
        <f t="shared" si="6"/>
        <v/>
      </c>
      <c r="Q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 t="str">
        <f t="shared" si="2"/>
        <v/>
      </c>
      <c r="M752" s="8" t="str">
        <f t="shared" si="7"/>
        <v/>
      </c>
      <c r="N752" s="3" t="str">
        <f t="shared" si="4"/>
        <v>GSTIN &amp; Invoice No not entered</v>
      </c>
      <c r="O752" s="9" t="str">
        <f t="shared" si="5"/>
        <v/>
      </c>
      <c r="P752" s="3" t="str">
        <f t="shared" si="6"/>
        <v/>
      </c>
      <c r="Q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 t="str">
        <f t="shared" si="2"/>
        <v/>
      </c>
      <c r="M753" s="8" t="str">
        <f t="shared" si="7"/>
        <v/>
      </c>
      <c r="N753" s="3" t="str">
        <f t="shared" si="4"/>
        <v>GSTIN &amp; Invoice No not entered</v>
      </c>
      <c r="O753" s="9" t="str">
        <f t="shared" si="5"/>
        <v/>
      </c>
      <c r="P753" s="3" t="str">
        <f t="shared" si="6"/>
        <v/>
      </c>
      <c r="Q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 t="str">
        <f t="shared" si="2"/>
        <v/>
      </c>
      <c r="M754" s="8" t="str">
        <f t="shared" si="7"/>
        <v/>
      </c>
      <c r="N754" s="3" t="str">
        <f t="shared" si="4"/>
        <v>GSTIN &amp; Invoice No not entered</v>
      </c>
      <c r="O754" s="9" t="str">
        <f t="shared" si="5"/>
        <v/>
      </c>
      <c r="P754" s="3" t="str">
        <f t="shared" si="6"/>
        <v/>
      </c>
      <c r="Q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 t="str">
        <f t="shared" si="2"/>
        <v/>
      </c>
      <c r="M755" s="8" t="str">
        <f t="shared" si="7"/>
        <v/>
      </c>
      <c r="N755" s="3" t="str">
        <f t="shared" si="4"/>
        <v>GSTIN &amp; Invoice No not entered</v>
      </c>
      <c r="O755" s="9" t="str">
        <f t="shared" si="5"/>
        <v/>
      </c>
      <c r="P755" s="3" t="str">
        <f t="shared" si="6"/>
        <v/>
      </c>
      <c r="Q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 t="str">
        <f t="shared" si="2"/>
        <v/>
      </c>
      <c r="M756" s="8" t="str">
        <f t="shared" si="7"/>
        <v/>
      </c>
      <c r="N756" s="3" t="str">
        <f t="shared" si="4"/>
        <v>GSTIN &amp; Invoice No not entered</v>
      </c>
      <c r="O756" s="9" t="str">
        <f t="shared" si="5"/>
        <v/>
      </c>
      <c r="P756" s="3" t="str">
        <f t="shared" si="6"/>
        <v/>
      </c>
      <c r="Q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 t="str">
        <f t="shared" si="2"/>
        <v/>
      </c>
      <c r="M757" s="8" t="str">
        <f t="shared" si="7"/>
        <v/>
      </c>
      <c r="N757" s="3" t="str">
        <f t="shared" si="4"/>
        <v>GSTIN &amp; Invoice No not entered</v>
      </c>
      <c r="O757" s="9" t="str">
        <f t="shared" si="5"/>
        <v/>
      </c>
      <c r="P757" s="3" t="str">
        <f t="shared" si="6"/>
        <v/>
      </c>
      <c r="Q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 t="str">
        <f t="shared" si="2"/>
        <v/>
      </c>
      <c r="M758" s="8" t="str">
        <f t="shared" si="7"/>
        <v/>
      </c>
      <c r="N758" s="3" t="str">
        <f t="shared" si="4"/>
        <v>GSTIN &amp; Invoice No not entered</v>
      </c>
      <c r="O758" s="9" t="str">
        <f t="shared" si="5"/>
        <v/>
      </c>
      <c r="P758" s="3" t="str">
        <f t="shared" si="6"/>
        <v/>
      </c>
      <c r="Q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 t="str">
        <f t="shared" si="2"/>
        <v/>
      </c>
      <c r="M759" s="8" t="str">
        <f t="shared" si="7"/>
        <v/>
      </c>
      <c r="N759" s="3" t="str">
        <f t="shared" si="4"/>
        <v>GSTIN &amp; Invoice No not entered</v>
      </c>
      <c r="O759" s="9" t="str">
        <f t="shared" si="5"/>
        <v/>
      </c>
      <c r="P759" s="3" t="str">
        <f t="shared" si="6"/>
        <v/>
      </c>
      <c r="Q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 t="str">
        <f t="shared" si="2"/>
        <v/>
      </c>
      <c r="M760" s="8" t="str">
        <f t="shared" si="7"/>
        <v/>
      </c>
      <c r="N760" s="3" t="str">
        <f t="shared" si="4"/>
        <v>GSTIN &amp; Invoice No not entered</v>
      </c>
      <c r="O760" s="9" t="str">
        <f t="shared" si="5"/>
        <v/>
      </c>
      <c r="P760" s="3" t="str">
        <f t="shared" si="6"/>
        <v/>
      </c>
      <c r="Q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 t="str">
        <f t="shared" si="2"/>
        <v/>
      </c>
      <c r="M761" s="8" t="str">
        <f t="shared" si="7"/>
        <v/>
      </c>
      <c r="N761" s="3" t="str">
        <f t="shared" si="4"/>
        <v>GSTIN &amp; Invoice No not entered</v>
      </c>
      <c r="O761" s="9" t="str">
        <f t="shared" si="5"/>
        <v/>
      </c>
      <c r="P761" s="3" t="str">
        <f t="shared" si="6"/>
        <v/>
      </c>
      <c r="Q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 t="str">
        <f t="shared" si="2"/>
        <v/>
      </c>
      <c r="M762" s="8" t="str">
        <f t="shared" si="7"/>
        <v/>
      </c>
      <c r="N762" s="3" t="str">
        <f t="shared" si="4"/>
        <v>GSTIN &amp; Invoice No not entered</v>
      </c>
      <c r="O762" s="9" t="str">
        <f t="shared" si="5"/>
        <v/>
      </c>
      <c r="P762" s="3" t="str">
        <f t="shared" si="6"/>
        <v/>
      </c>
      <c r="Q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 t="str">
        <f t="shared" si="2"/>
        <v/>
      </c>
      <c r="M763" s="8" t="str">
        <f t="shared" si="7"/>
        <v/>
      </c>
      <c r="N763" s="3" t="str">
        <f t="shared" si="4"/>
        <v>GSTIN &amp; Invoice No not entered</v>
      </c>
      <c r="O763" s="9" t="str">
        <f t="shared" si="5"/>
        <v/>
      </c>
      <c r="P763" s="3" t="str">
        <f t="shared" si="6"/>
        <v/>
      </c>
      <c r="Q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 t="str">
        <f t="shared" si="2"/>
        <v/>
      </c>
      <c r="M764" s="8" t="str">
        <f t="shared" si="7"/>
        <v/>
      </c>
      <c r="N764" s="3" t="str">
        <f t="shared" si="4"/>
        <v>GSTIN &amp; Invoice No not entered</v>
      </c>
      <c r="O764" s="9" t="str">
        <f t="shared" si="5"/>
        <v/>
      </c>
      <c r="P764" s="3" t="str">
        <f t="shared" si="6"/>
        <v/>
      </c>
      <c r="Q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 t="str">
        <f t="shared" si="2"/>
        <v/>
      </c>
      <c r="M765" s="8" t="str">
        <f t="shared" si="7"/>
        <v/>
      </c>
      <c r="N765" s="3" t="str">
        <f t="shared" si="4"/>
        <v>GSTIN &amp; Invoice No not entered</v>
      </c>
      <c r="O765" s="9" t="str">
        <f t="shared" si="5"/>
        <v/>
      </c>
      <c r="P765" s="3" t="str">
        <f t="shared" si="6"/>
        <v/>
      </c>
      <c r="Q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 t="str">
        <f t="shared" si="2"/>
        <v/>
      </c>
      <c r="M766" s="8" t="str">
        <f t="shared" si="7"/>
        <v/>
      </c>
      <c r="N766" s="3" t="str">
        <f t="shared" si="4"/>
        <v>GSTIN &amp; Invoice No not entered</v>
      </c>
      <c r="O766" s="9" t="str">
        <f t="shared" si="5"/>
        <v/>
      </c>
      <c r="P766" s="3" t="str">
        <f t="shared" si="6"/>
        <v/>
      </c>
      <c r="Q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 t="str">
        <f t="shared" si="2"/>
        <v/>
      </c>
      <c r="M767" s="8" t="str">
        <f t="shared" si="7"/>
        <v/>
      </c>
      <c r="N767" s="3" t="str">
        <f t="shared" si="4"/>
        <v>GSTIN &amp; Invoice No not entered</v>
      </c>
      <c r="O767" s="9" t="str">
        <f t="shared" si="5"/>
        <v/>
      </c>
      <c r="P767" s="3" t="str">
        <f t="shared" si="6"/>
        <v/>
      </c>
      <c r="Q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 t="str">
        <f t="shared" si="2"/>
        <v/>
      </c>
      <c r="M768" s="8" t="str">
        <f t="shared" si="7"/>
        <v/>
      </c>
      <c r="N768" s="3" t="str">
        <f t="shared" si="4"/>
        <v>GSTIN &amp; Invoice No not entered</v>
      </c>
      <c r="O768" s="9" t="str">
        <f t="shared" si="5"/>
        <v/>
      </c>
      <c r="P768" s="3" t="str">
        <f t="shared" si="6"/>
        <v/>
      </c>
      <c r="Q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 t="str">
        <f t="shared" si="2"/>
        <v/>
      </c>
      <c r="M769" s="8" t="str">
        <f t="shared" si="7"/>
        <v/>
      </c>
      <c r="N769" s="3" t="str">
        <f t="shared" si="4"/>
        <v>GSTIN &amp; Invoice No not entered</v>
      </c>
      <c r="O769" s="9" t="str">
        <f t="shared" si="5"/>
        <v/>
      </c>
      <c r="P769" s="3" t="str">
        <f t="shared" si="6"/>
        <v/>
      </c>
      <c r="Q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 t="str">
        <f t="shared" si="2"/>
        <v/>
      </c>
      <c r="M770" s="8" t="str">
        <f t="shared" si="7"/>
        <v/>
      </c>
      <c r="N770" s="3" t="str">
        <f t="shared" si="4"/>
        <v>GSTIN &amp; Invoice No not entered</v>
      </c>
      <c r="O770" s="9" t="str">
        <f t="shared" si="5"/>
        <v/>
      </c>
      <c r="P770" s="3" t="str">
        <f t="shared" si="6"/>
        <v/>
      </c>
      <c r="Q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 t="str">
        <f t="shared" si="2"/>
        <v/>
      </c>
      <c r="M771" s="8" t="str">
        <f t="shared" si="7"/>
        <v/>
      </c>
      <c r="N771" s="3" t="str">
        <f t="shared" si="4"/>
        <v>GSTIN &amp; Invoice No not entered</v>
      </c>
      <c r="O771" s="9" t="str">
        <f t="shared" si="5"/>
        <v/>
      </c>
      <c r="P771" s="3" t="str">
        <f t="shared" si="6"/>
        <v/>
      </c>
      <c r="Q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 t="str">
        <f t="shared" si="2"/>
        <v/>
      </c>
      <c r="M772" s="8" t="str">
        <f t="shared" si="7"/>
        <v/>
      </c>
      <c r="N772" s="3" t="str">
        <f t="shared" si="4"/>
        <v>GSTIN &amp; Invoice No not entered</v>
      </c>
      <c r="O772" s="9" t="str">
        <f t="shared" si="5"/>
        <v/>
      </c>
      <c r="P772" s="3" t="str">
        <f t="shared" si="6"/>
        <v/>
      </c>
      <c r="Q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 t="str">
        <f t="shared" si="2"/>
        <v/>
      </c>
      <c r="M773" s="8" t="str">
        <f t="shared" si="7"/>
        <v/>
      </c>
      <c r="N773" s="3" t="str">
        <f t="shared" si="4"/>
        <v>GSTIN &amp; Invoice No not entered</v>
      </c>
      <c r="O773" s="9" t="str">
        <f t="shared" si="5"/>
        <v/>
      </c>
      <c r="P773" s="3" t="str">
        <f t="shared" si="6"/>
        <v/>
      </c>
      <c r="Q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 t="str">
        <f t="shared" si="2"/>
        <v/>
      </c>
      <c r="M774" s="8" t="str">
        <f t="shared" si="7"/>
        <v/>
      </c>
      <c r="N774" s="3" t="str">
        <f t="shared" si="4"/>
        <v>GSTIN &amp; Invoice No not entered</v>
      </c>
      <c r="O774" s="9" t="str">
        <f t="shared" si="5"/>
        <v/>
      </c>
      <c r="P774" s="3" t="str">
        <f t="shared" si="6"/>
        <v/>
      </c>
      <c r="Q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 t="str">
        <f t="shared" si="2"/>
        <v/>
      </c>
      <c r="M775" s="8" t="str">
        <f t="shared" si="7"/>
        <v/>
      </c>
      <c r="N775" s="3" t="str">
        <f t="shared" si="4"/>
        <v>GSTIN &amp; Invoice No not entered</v>
      </c>
      <c r="O775" s="9" t="str">
        <f t="shared" si="5"/>
        <v/>
      </c>
      <c r="P775" s="3" t="str">
        <f t="shared" si="6"/>
        <v/>
      </c>
      <c r="Q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 t="str">
        <f t="shared" si="2"/>
        <v/>
      </c>
      <c r="M776" s="8" t="str">
        <f t="shared" si="7"/>
        <v/>
      </c>
      <c r="N776" s="3" t="str">
        <f t="shared" si="4"/>
        <v>GSTIN &amp; Invoice No not entered</v>
      </c>
      <c r="O776" s="9" t="str">
        <f t="shared" si="5"/>
        <v/>
      </c>
      <c r="P776" s="3" t="str">
        <f t="shared" si="6"/>
        <v/>
      </c>
      <c r="Q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 t="str">
        <f t="shared" si="2"/>
        <v/>
      </c>
      <c r="M777" s="8" t="str">
        <f t="shared" si="7"/>
        <v/>
      </c>
      <c r="N777" s="3" t="str">
        <f t="shared" si="4"/>
        <v>GSTIN &amp; Invoice No not entered</v>
      </c>
      <c r="O777" s="9" t="str">
        <f t="shared" si="5"/>
        <v/>
      </c>
      <c r="P777" s="3" t="str">
        <f t="shared" si="6"/>
        <v/>
      </c>
      <c r="Q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 t="str">
        <f t="shared" si="2"/>
        <v/>
      </c>
      <c r="M778" s="8" t="str">
        <f t="shared" si="7"/>
        <v/>
      </c>
      <c r="N778" s="3" t="str">
        <f t="shared" si="4"/>
        <v>GSTIN &amp; Invoice No not entered</v>
      </c>
      <c r="O778" s="9" t="str">
        <f t="shared" si="5"/>
        <v/>
      </c>
      <c r="P778" s="3" t="str">
        <f t="shared" si="6"/>
        <v/>
      </c>
      <c r="Q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 t="str">
        <f t="shared" si="2"/>
        <v/>
      </c>
      <c r="M779" s="8" t="str">
        <f t="shared" si="7"/>
        <v/>
      </c>
      <c r="N779" s="3" t="str">
        <f t="shared" si="4"/>
        <v>GSTIN &amp; Invoice No not entered</v>
      </c>
      <c r="O779" s="9" t="str">
        <f t="shared" si="5"/>
        <v/>
      </c>
      <c r="P779" s="3" t="str">
        <f t="shared" si="6"/>
        <v/>
      </c>
      <c r="Q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 t="str">
        <f t="shared" si="2"/>
        <v/>
      </c>
      <c r="M780" s="8" t="str">
        <f t="shared" si="7"/>
        <v/>
      </c>
      <c r="N780" s="3" t="str">
        <f t="shared" si="4"/>
        <v>GSTIN &amp; Invoice No not entered</v>
      </c>
      <c r="O780" s="9" t="str">
        <f t="shared" si="5"/>
        <v/>
      </c>
      <c r="P780" s="3" t="str">
        <f t="shared" si="6"/>
        <v/>
      </c>
      <c r="Q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 t="str">
        <f t="shared" si="2"/>
        <v/>
      </c>
      <c r="M781" s="8" t="str">
        <f t="shared" si="7"/>
        <v/>
      </c>
      <c r="N781" s="3" t="str">
        <f t="shared" si="4"/>
        <v>GSTIN &amp; Invoice No not entered</v>
      </c>
      <c r="O781" s="9" t="str">
        <f t="shared" si="5"/>
        <v/>
      </c>
      <c r="P781" s="3" t="str">
        <f t="shared" si="6"/>
        <v/>
      </c>
      <c r="Q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 t="str">
        <f t="shared" si="2"/>
        <v/>
      </c>
      <c r="M782" s="8" t="str">
        <f t="shared" si="7"/>
        <v/>
      </c>
      <c r="N782" s="3" t="str">
        <f t="shared" si="4"/>
        <v>GSTIN &amp; Invoice No not entered</v>
      </c>
      <c r="O782" s="9" t="str">
        <f t="shared" si="5"/>
        <v/>
      </c>
      <c r="P782" s="3" t="str">
        <f t="shared" si="6"/>
        <v/>
      </c>
      <c r="Q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 t="str">
        <f t="shared" si="2"/>
        <v/>
      </c>
      <c r="M783" s="8" t="str">
        <f t="shared" si="7"/>
        <v/>
      </c>
      <c r="N783" s="3" t="str">
        <f t="shared" si="4"/>
        <v>GSTIN &amp; Invoice No not entered</v>
      </c>
      <c r="O783" s="9" t="str">
        <f t="shared" si="5"/>
        <v/>
      </c>
      <c r="P783" s="3" t="str">
        <f t="shared" si="6"/>
        <v/>
      </c>
      <c r="Q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 t="str">
        <f t="shared" si="2"/>
        <v/>
      </c>
      <c r="M784" s="8" t="str">
        <f t="shared" si="7"/>
        <v/>
      </c>
      <c r="N784" s="3" t="str">
        <f t="shared" si="4"/>
        <v>GSTIN &amp; Invoice No not entered</v>
      </c>
      <c r="O784" s="9" t="str">
        <f t="shared" si="5"/>
        <v/>
      </c>
      <c r="P784" s="3" t="str">
        <f t="shared" si="6"/>
        <v/>
      </c>
      <c r="Q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 t="str">
        <f t="shared" si="2"/>
        <v/>
      </c>
      <c r="M785" s="8" t="str">
        <f t="shared" si="7"/>
        <v/>
      </c>
      <c r="N785" s="3" t="str">
        <f t="shared" si="4"/>
        <v>GSTIN &amp; Invoice No not entered</v>
      </c>
      <c r="O785" s="9" t="str">
        <f t="shared" si="5"/>
        <v/>
      </c>
      <c r="P785" s="3" t="str">
        <f t="shared" si="6"/>
        <v/>
      </c>
      <c r="Q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 t="str">
        <f t="shared" si="2"/>
        <v/>
      </c>
      <c r="M786" s="8" t="str">
        <f t="shared" si="7"/>
        <v/>
      </c>
      <c r="N786" s="3" t="str">
        <f t="shared" si="4"/>
        <v>GSTIN &amp; Invoice No not entered</v>
      </c>
      <c r="O786" s="9" t="str">
        <f t="shared" si="5"/>
        <v/>
      </c>
      <c r="P786" s="3" t="str">
        <f t="shared" si="6"/>
        <v/>
      </c>
      <c r="Q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 t="str">
        <f t="shared" si="2"/>
        <v/>
      </c>
      <c r="M787" s="8" t="str">
        <f t="shared" si="7"/>
        <v/>
      </c>
      <c r="N787" s="3" t="str">
        <f t="shared" si="4"/>
        <v>GSTIN &amp; Invoice No not entered</v>
      </c>
      <c r="O787" s="9" t="str">
        <f t="shared" si="5"/>
        <v/>
      </c>
      <c r="P787" s="3" t="str">
        <f t="shared" si="6"/>
        <v/>
      </c>
      <c r="Q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 t="str">
        <f t="shared" si="2"/>
        <v/>
      </c>
      <c r="M788" s="8" t="str">
        <f t="shared" si="7"/>
        <v/>
      </c>
      <c r="N788" s="3" t="str">
        <f t="shared" si="4"/>
        <v>GSTIN &amp; Invoice No not entered</v>
      </c>
      <c r="O788" s="9" t="str">
        <f t="shared" si="5"/>
        <v/>
      </c>
      <c r="P788" s="3" t="str">
        <f t="shared" si="6"/>
        <v/>
      </c>
      <c r="Q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 t="str">
        <f t="shared" si="2"/>
        <v/>
      </c>
      <c r="M789" s="8" t="str">
        <f t="shared" si="7"/>
        <v/>
      </c>
      <c r="N789" s="3" t="str">
        <f t="shared" si="4"/>
        <v>GSTIN &amp; Invoice No not entered</v>
      </c>
      <c r="O789" s="9" t="str">
        <f t="shared" si="5"/>
        <v/>
      </c>
      <c r="P789" s="3" t="str">
        <f t="shared" si="6"/>
        <v/>
      </c>
      <c r="Q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 t="str">
        <f t="shared" si="2"/>
        <v/>
      </c>
      <c r="M790" s="8" t="str">
        <f t="shared" si="7"/>
        <v/>
      </c>
      <c r="N790" s="3" t="str">
        <f t="shared" si="4"/>
        <v>GSTIN &amp; Invoice No not entered</v>
      </c>
      <c r="O790" s="9" t="str">
        <f t="shared" si="5"/>
        <v/>
      </c>
      <c r="P790" s="3" t="str">
        <f t="shared" si="6"/>
        <v/>
      </c>
      <c r="Q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 t="str">
        <f t="shared" si="2"/>
        <v/>
      </c>
      <c r="M791" s="8" t="str">
        <f t="shared" si="7"/>
        <v/>
      </c>
      <c r="N791" s="3" t="str">
        <f t="shared" si="4"/>
        <v>GSTIN &amp; Invoice No not entered</v>
      </c>
      <c r="O791" s="9" t="str">
        <f t="shared" si="5"/>
        <v/>
      </c>
      <c r="P791" s="3" t="str">
        <f t="shared" si="6"/>
        <v/>
      </c>
      <c r="Q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 t="str">
        <f t="shared" si="2"/>
        <v/>
      </c>
      <c r="M792" s="8" t="str">
        <f t="shared" si="7"/>
        <v/>
      </c>
      <c r="N792" s="3" t="str">
        <f t="shared" si="4"/>
        <v>GSTIN &amp; Invoice No not entered</v>
      </c>
      <c r="O792" s="9" t="str">
        <f t="shared" si="5"/>
        <v/>
      </c>
      <c r="P792" s="3" t="str">
        <f t="shared" si="6"/>
        <v/>
      </c>
      <c r="Q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 t="str">
        <f t="shared" si="2"/>
        <v/>
      </c>
      <c r="M793" s="8" t="str">
        <f t="shared" si="7"/>
        <v/>
      </c>
      <c r="N793" s="3" t="str">
        <f t="shared" si="4"/>
        <v>GSTIN &amp; Invoice No not entered</v>
      </c>
      <c r="O793" s="9" t="str">
        <f t="shared" si="5"/>
        <v/>
      </c>
      <c r="P793" s="3" t="str">
        <f t="shared" si="6"/>
        <v/>
      </c>
      <c r="Q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 t="str">
        <f t="shared" si="2"/>
        <v/>
      </c>
      <c r="M794" s="8" t="str">
        <f t="shared" si="7"/>
        <v/>
      </c>
      <c r="N794" s="3" t="str">
        <f t="shared" si="4"/>
        <v>GSTIN &amp; Invoice No not entered</v>
      </c>
      <c r="O794" s="9" t="str">
        <f t="shared" si="5"/>
        <v/>
      </c>
      <c r="P794" s="3" t="str">
        <f t="shared" si="6"/>
        <v/>
      </c>
      <c r="Q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 t="str">
        <f t="shared" si="2"/>
        <v/>
      </c>
      <c r="M795" s="8" t="str">
        <f t="shared" si="7"/>
        <v/>
      </c>
      <c r="N795" s="3" t="str">
        <f t="shared" si="4"/>
        <v>GSTIN &amp; Invoice No not entered</v>
      </c>
      <c r="O795" s="9" t="str">
        <f t="shared" si="5"/>
        <v/>
      </c>
      <c r="P795" s="3" t="str">
        <f t="shared" si="6"/>
        <v/>
      </c>
      <c r="Q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 t="str">
        <f t="shared" si="2"/>
        <v/>
      </c>
      <c r="M796" s="8" t="str">
        <f t="shared" si="7"/>
        <v/>
      </c>
      <c r="N796" s="3" t="str">
        <f t="shared" si="4"/>
        <v>GSTIN &amp; Invoice No not entered</v>
      </c>
      <c r="O796" s="9" t="str">
        <f t="shared" si="5"/>
        <v/>
      </c>
      <c r="P796" s="3" t="str">
        <f t="shared" si="6"/>
        <v/>
      </c>
      <c r="Q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 t="str">
        <f t="shared" si="2"/>
        <v/>
      </c>
      <c r="M797" s="8" t="str">
        <f t="shared" si="7"/>
        <v/>
      </c>
      <c r="N797" s="3" t="str">
        <f t="shared" si="4"/>
        <v>GSTIN &amp; Invoice No not entered</v>
      </c>
      <c r="O797" s="9" t="str">
        <f t="shared" si="5"/>
        <v/>
      </c>
      <c r="P797" s="3" t="str">
        <f t="shared" si="6"/>
        <v/>
      </c>
      <c r="Q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 t="str">
        <f t="shared" si="2"/>
        <v/>
      </c>
      <c r="M798" s="8" t="str">
        <f t="shared" si="7"/>
        <v/>
      </c>
      <c r="N798" s="3" t="str">
        <f t="shared" si="4"/>
        <v>GSTIN &amp; Invoice No not entered</v>
      </c>
      <c r="O798" s="9" t="str">
        <f t="shared" si="5"/>
        <v/>
      </c>
      <c r="P798" s="3" t="str">
        <f t="shared" si="6"/>
        <v/>
      </c>
      <c r="Q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 t="str">
        <f t="shared" si="2"/>
        <v/>
      </c>
      <c r="M799" s="8" t="str">
        <f t="shared" si="7"/>
        <v/>
      </c>
      <c r="N799" s="3" t="str">
        <f t="shared" si="4"/>
        <v>GSTIN &amp; Invoice No not entered</v>
      </c>
      <c r="O799" s="9" t="str">
        <f t="shared" si="5"/>
        <v/>
      </c>
      <c r="P799" s="3" t="str">
        <f t="shared" si="6"/>
        <v/>
      </c>
      <c r="Q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 t="str">
        <f t="shared" si="2"/>
        <v/>
      </c>
      <c r="M800" s="8" t="str">
        <f t="shared" si="7"/>
        <v/>
      </c>
      <c r="N800" s="3" t="str">
        <f t="shared" si="4"/>
        <v>GSTIN &amp; Invoice No not entered</v>
      </c>
      <c r="O800" s="9" t="str">
        <f t="shared" si="5"/>
        <v/>
      </c>
      <c r="P800" s="3" t="str">
        <f t="shared" si="6"/>
        <v/>
      </c>
      <c r="Q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 t="str">
        <f t="shared" si="2"/>
        <v/>
      </c>
      <c r="M801" s="8" t="str">
        <f t="shared" si="7"/>
        <v/>
      </c>
      <c r="N801" s="3" t="str">
        <f t="shared" si="4"/>
        <v>GSTIN &amp; Invoice No not entered</v>
      </c>
      <c r="O801" s="9" t="str">
        <f t="shared" si="5"/>
        <v/>
      </c>
      <c r="P801" s="3" t="str">
        <f t="shared" si="6"/>
        <v/>
      </c>
      <c r="Q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 t="str">
        <f t="shared" si="2"/>
        <v/>
      </c>
      <c r="M802" s="8" t="str">
        <f t="shared" si="7"/>
        <v/>
      </c>
      <c r="N802" s="3" t="str">
        <f t="shared" si="4"/>
        <v>GSTIN &amp; Invoice No not entered</v>
      </c>
      <c r="O802" s="9" t="str">
        <f t="shared" si="5"/>
        <v/>
      </c>
      <c r="P802" s="3" t="str">
        <f t="shared" si="6"/>
        <v/>
      </c>
      <c r="Q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 t="str">
        <f t="shared" si="2"/>
        <v/>
      </c>
      <c r="M803" s="8" t="str">
        <f t="shared" si="7"/>
        <v/>
      </c>
      <c r="N803" s="3" t="str">
        <f t="shared" si="4"/>
        <v>GSTIN &amp; Invoice No not entered</v>
      </c>
      <c r="O803" s="9" t="str">
        <f t="shared" si="5"/>
        <v/>
      </c>
      <c r="P803" s="3" t="str">
        <f t="shared" si="6"/>
        <v/>
      </c>
      <c r="Q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 t="str">
        <f t="shared" si="2"/>
        <v/>
      </c>
      <c r="M804" s="8" t="str">
        <f t="shared" si="7"/>
        <v/>
      </c>
      <c r="N804" s="3" t="str">
        <f t="shared" si="4"/>
        <v>GSTIN &amp; Invoice No not entered</v>
      </c>
      <c r="O804" s="9" t="str">
        <f t="shared" si="5"/>
        <v/>
      </c>
      <c r="P804" s="3" t="str">
        <f t="shared" si="6"/>
        <v/>
      </c>
      <c r="Q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 t="str">
        <f t="shared" si="2"/>
        <v/>
      </c>
      <c r="M805" s="8" t="str">
        <f t="shared" si="7"/>
        <v/>
      </c>
      <c r="N805" s="3" t="str">
        <f t="shared" si="4"/>
        <v>GSTIN &amp; Invoice No not entered</v>
      </c>
      <c r="O805" s="9" t="str">
        <f t="shared" si="5"/>
        <v/>
      </c>
      <c r="P805" s="3" t="str">
        <f t="shared" si="6"/>
        <v/>
      </c>
      <c r="Q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 t="str">
        <f t="shared" si="2"/>
        <v/>
      </c>
      <c r="M806" s="8" t="str">
        <f t="shared" si="7"/>
        <v/>
      </c>
      <c r="N806" s="3" t="str">
        <f t="shared" si="4"/>
        <v>GSTIN &amp; Invoice No not entered</v>
      </c>
      <c r="O806" s="9" t="str">
        <f t="shared" si="5"/>
        <v/>
      </c>
      <c r="P806" s="3" t="str">
        <f t="shared" si="6"/>
        <v/>
      </c>
      <c r="Q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 t="str">
        <f t="shared" si="2"/>
        <v/>
      </c>
      <c r="M807" s="8" t="str">
        <f t="shared" si="7"/>
        <v/>
      </c>
      <c r="N807" s="3" t="str">
        <f t="shared" si="4"/>
        <v>GSTIN &amp; Invoice No not entered</v>
      </c>
      <c r="O807" s="9" t="str">
        <f t="shared" si="5"/>
        <v/>
      </c>
      <c r="P807" s="3" t="str">
        <f t="shared" si="6"/>
        <v/>
      </c>
      <c r="Q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 t="str">
        <f t="shared" si="2"/>
        <v/>
      </c>
      <c r="M808" s="8" t="str">
        <f t="shared" si="7"/>
        <v/>
      </c>
      <c r="N808" s="3" t="str">
        <f t="shared" si="4"/>
        <v>GSTIN &amp; Invoice No not entered</v>
      </c>
      <c r="O808" s="9" t="str">
        <f t="shared" si="5"/>
        <v/>
      </c>
      <c r="P808" s="3" t="str">
        <f t="shared" si="6"/>
        <v/>
      </c>
      <c r="Q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 t="str">
        <f t="shared" si="2"/>
        <v/>
      </c>
      <c r="M809" s="8" t="str">
        <f t="shared" si="7"/>
        <v/>
      </c>
      <c r="N809" s="3" t="str">
        <f t="shared" si="4"/>
        <v>GSTIN &amp; Invoice No not entered</v>
      </c>
      <c r="O809" s="9" t="str">
        <f t="shared" si="5"/>
        <v/>
      </c>
      <c r="P809" s="3" t="str">
        <f t="shared" si="6"/>
        <v/>
      </c>
      <c r="Q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 t="str">
        <f t="shared" si="2"/>
        <v/>
      </c>
      <c r="M810" s="8" t="str">
        <f t="shared" si="7"/>
        <v/>
      </c>
      <c r="N810" s="3" t="str">
        <f t="shared" si="4"/>
        <v>GSTIN &amp; Invoice No not entered</v>
      </c>
      <c r="O810" s="9" t="str">
        <f t="shared" si="5"/>
        <v/>
      </c>
      <c r="P810" s="3" t="str">
        <f t="shared" si="6"/>
        <v/>
      </c>
      <c r="Q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 t="str">
        <f t="shared" si="2"/>
        <v/>
      </c>
      <c r="M811" s="8" t="str">
        <f t="shared" si="7"/>
        <v/>
      </c>
      <c r="N811" s="3" t="str">
        <f t="shared" si="4"/>
        <v>GSTIN &amp; Invoice No not entered</v>
      </c>
      <c r="O811" s="9" t="str">
        <f t="shared" si="5"/>
        <v/>
      </c>
      <c r="P811" s="3" t="str">
        <f t="shared" si="6"/>
        <v/>
      </c>
      <c r="Q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 t="str">
        <f t="shared" si="2"/>
        <v/>
      </c>
      <c r="M812" s="8" t="str">
        <f t="shared" si="7"/>
        <v/>
      </c>
      <c r="N812" s="3" t="str">
        <f t="shared" si="4"/>
        <v>GSTIN &amp; Invoice No not entered</v>
      </c>
      <c r="O812" s="9" t="str">
        <f t="shared" si="5"/>
        <v/>
      </c>
      <c r="P812" s="3" t="str">
        <f t="shared" si="6"/>
        <v/>
      </c>
      <c r="Q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 t="str">
        <f t="shared" si="2"/>
        <v/>
      </c>
      <c r="M813" s="8" t="str">
        <f t="shared" si="7"/>
        <v/>
      </c>
      <c r="N813" s="3" t="str">
        <f t="shared" si="4"/>
        <v>GSTIN &amp; Invoice No not entered</v>
      </c>
      <c r="O813" s="9" t="str">
        <f t="shared" si="5"/>
        <v/>
      </c>
      <c r="P813" s="3" t="str">
        <f t="shared" si="6"/>
        <v/>
      </c>
      <c r="Q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 t="str">
        <f t="shared" si="2"/>
        <v/>
      </c>
      <c r="M814" s="8" t="str">
        <f t="shared" si="7"/>
        <v/>
      </c>
      <c r="N814" s="3" t="str">
        <f t="shared" si="4"/>
        <v>GSTIN &amp; Invoice No not entered</v>
      </c>
      <c r="O814" s="9" t="str">
        <f t="shared" si="5"/>
        <v/>
      </c>
      <c r="P814" s="3" t="str">
        <f t="shared" si="6"/>
        <v/>
      </c>
      <c r="Q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 t="str">
        <f t="shared" si="2"/>
        <v/>
      </c>
      <c r="M815" s="8" t="str">
        <f t="shared" si="7"/>
        <v/>
      </c>
      <c r="N815" s="3" t="str">
        <f t="shared" si="4"/>
        <v>GSTIN &amp; Invoice No not entered</v>
      </c>
      <c r="O815" s="9" t="str">
        <f t="shared" si="5"/>
        <v/>
      </c>
      <c r="P815" s="3" t="str">
        <f t="shared" si="6"/>
        <v/>
      </c>
      <c r="Q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 t="str">
        <f t="shared" si="2"/>
        <v/>
      </c>
      <c r="M816" s="8" t="str">
        <f t="shared" si="7"/>
        <v/>
      </c>
      <c r="N816" s="3" t="str">
        <f t="shared" si="4"/>
        <v>GSTIN &amp; Invoice No not entered</v>
      </c>
      <c r="O816" s="9" t="str">
        <f t="shared" si="5"/>
        <v/>
      </c>
      <c r="P816" s="3" t="str">
        <f t="shared" si="6"/>
        <v/>
      </c>
      <c r="Q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 t="str">
        <f t="shared" si="2"/>
        <v/>
      </c>
      <c r="M817" s="8" t="str">
        <f t="shared" si="7"/>
        <v/>
      </c>
      <c r="N817" s="3" t="str">
        <f t="shared" si="4"/>
        <v>GSTIN &amp; Invoice No not entered</v>
      </c>
      <c r="O817" s="9" t="str">
        <f t="shared" si="5"/>
        <v/>
      </c>
      <c r="P817" s="3" t="str">
        <f t="shared" si="6"/>
        <v/>
      </c>
      <c r="Q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 t="str">
        <f t="shared" si="2"/>
        <v/>
      </c>
      <c r="M818" s="8" t="str">
        <f t="shared" si="7"/>
        <v/>
      </c>
      <c r="N818" s="3" t="str">
        <f t="shared" si="4"/>
        <v>GSTIN &amp; Invoice No not entered</v>
      </c>
      <c r="O818" s="9" t="str">
        <f t="shared" si="5"/>
        <v/>
      </c>
      <c r="P818" s="3" t="str">
        <f t="shared" si="6"/>
        <v/>
      </c>
      <c r="Q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 t="str">
        <f t="shared" si="2"/>
        <v/>
      </c>
      <c r="M819" s="8" t="str">
        <f t="shared" si="7"/>
        <v/>
      </c>
      <c r="N819" s="3" t="str">
        <f t="shared" si="4"/>
        <v>GSTIN &amp; Invoice No not entered</v>
      </c>
      <c r="O819" s="9" t="str">
        <f t="shared" si="5"/>
        <v/>
      </c>
      <c r="P819" s="3" t="str">
        <f t="shared" si="6"/>
        <v/>
      </c>
      <c r="Q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 t="str">
        <f t="shared" si="2"/>
        <v/>
      </c>
      <c r="M820" s="8" t="str">
        <f t="shared" si="7"/>
        <v/>
      </c>
      <c r="N820" s="3" t="str">
        <f t="shared" si="4"/>
        <v>GSTIN &amp; Invoice No not entered</v>
      </c>
      <c r="O820" s="9" t="str">
        <f t="shared" si="5"/>
        <v/>
      </c>
      <c r="P820" s="3" t="str">
        <f t="shared" si="6"/>
        <v/>
      </c>
      <c r="Q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 t="str">
        <f t="shared" si="2"/>
        <v/>
      </c>
      <c r="M821" s="8" t="str">
        <f t="shared" si="7"/>
        <v/>
      </c>
      <c r="N821" s="3" t="str">
        <f t="shared" si="4"/>
        <v>GSTIN &amp; Invoice No not entered</v>
      </c>
      <c r="O821" s="9" t="str">
        <f t="shared" si="5"/>
        <v/>
      </c>
      <c r="P821" s="3" t="str">
        <f t="shared" si="6"/>
        <v/>
      </c>
      <c r="Q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 t="str">
        <f t="shared" si="2"/>
        <v/>
      </c>
      <c r="M822" s="8" t="str">
        <f t="shared" si="7"/>
        <v/>
      </c>
      <c r="N822" s="3" t="str">
        <f t="shared" si="4"/>
        <v>GSTIN &amp; Invoice No not entered</v>
      </c>
      <c r="O822" s="9" t="str">
        <f t="shared" si="5"/>
        <v/>
      </c>
      <c r="P822" s="3" t="str">
        <f t="shared" si="6"/>
        <v/>
      </c>
      <c r="Q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 t="str">
        <f t="shared" si="2"/>
        <v/>
      </c>
      <c r="M823" s="8" t="str">
        <f t="shared" si="7"/>
        <v/>
      </c>
      <c r="N823" s="3" t="str">
        <f t="shared" si="4"/>
        <v>GSTIN &amp; Invoice No not entered</v>
      </c>
      <c r="O823" s="9" t="str">
        <f t="shared" si="5"/>
        <v/>
      </c>
      <c r="P823" s="3" t="str">
        <f t="shared" si="6"/>
        <v/>
      </c>
      <c r="Q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 t="str">
        <f t="shared" si="2"/>
        <v/>
      </c>
      <c r="M824" s="8" t="str">
        <f t="shared" si="7"/>
        <v/>
      </c>
      <c r="N824" s="3" t="str">
        <f t="shared" si="4"/>
        <v>GSTIN &amp; Invoice No not entered</v>
      </c>
      <c r="O824" s="9" t="str">
        <f t="shared" si="5"/>
        <v/>
      </c>
      <c r="P824" s="3" t="str">
        <f t="shared" si="6"/>
        <v/>
      </c>
      <c r="Q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 t="str">
        <f t="shared" si="2"/>
        <v/>
      </c>
      <c r="M825" s="8" t="str">
        <f t="shared" si="7"/>
        <v/>
      </c>
      <c r="N825" s="3" t="str">
        <f t="shared" si="4"/>
        <v>GSTIN &amp; Invoice No not entered</v>
      </c>
      <c r="O825" s="9" t="str">
        <f t="shared" si="5"/>
        <v/>
      </c>
      <c r="P825" s="3" t="str">
        <f t="shared" si="6"/>
        <v/>
      </c>
      <c r="Q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 t="str">
        <f t="shared" si="2"/>
        <v/>
      </c>
      <c r="M826" s="8" t="str">
        <f t="shared" si="7"/>
        <v/>
      </c>
      <c r="N826" s="3" t="str">
        <f t="shared" si="4"/>
        <v>GSTIN &amp; Invoice No not entered</v>
      </c>
      <c r="O826" s="9" t="str">
        <f t="shared" si="5"/>
        <v/>
      </c>
      <c r="P826" s="3" t="str">
        <f t="shared" si="6"/>
        <v/>
      </c>
      <c r="Q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 t="str">
        <f t="shared" si="2"/>
        <v/>
      </c>
      <c r="M827" s="8" t="str">
        <f t="shared" si="7"/>
        <v/>
      </c>
      <c r="N827" s="3" t="str">
        <f t="shared" si="4"/>
        <v>GSTIN &amp; Invoice No not entered</v>
      </c>
      <c r="O827" s="9" t="str">
        <f t="shared" si="5"/>
        <v/>
      </c>
      <c r="P827" s="3" t="str">
        <f t="shared" si="6"/>
        <v/>
      </c>
      <c r="Q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 t="str">
        <f t="shared" si="2"/>
        <v/>
      </c>
      <c r="M828" s="8" t="str">
        <f t="shared" si="7"/>
        <v/>
      </c>
      <c r="N828" s="3" t="str">
        <f t="shared" si="4"/>
        <v>GSTIN &amp; Invoice No not entered</v>
      </c>
      <c r="O828" s="9" t="str">
        <f t="shared" si="5"/>
        <v/>
      </c>
      <c r="P828" s="3" t="str">
        <f t="shared" si="6"/>
        <v/>
      </c>
      <c r="Q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 t="str">
        <f t="shared" si="2"/>
        <v/>
      </c>
      <c r="M829" s="8" t="str">
        <f t="shared" si="7"/>
        <v/>
      </c>
      <c r="N829" s="3" t="str">
        <f t="shared" si="4"/>
        <v>GSTIN &amp; Invoice No not entered</v>
      </c>
      <c r="O829" s="9" t="str">
        <f t="shared" si="5"/>
        <v/>
      </c>
      <c r="P829" s="3" t="str">
        <f t="shared" si="6"/>
        <v/>
      </c>
      <c r="Q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 t="str">
        <f t="shared" si="2"/>
        <v/>
      </c>
      <c r="M830" s="8" t="str">
        <f t="shared" si="7"/>
        <v/>
      </c>
      <c r="N830" s="3" t="str">
        <f t="shared" si="4"/>
        <v>GSTIN &amp; Invoice No not entered</v>
      </c>
      <c r="O830" s="9" t="str">
        <f t="shared" si="5"/>
        <v/>
      </c>
      <c r="P830" s="3" t="str">
        <f t="shared" si="6"/>
        <v/>
      </c>
      <c r="Q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 t="str">
        <f t="shared" si="2"/>
        <v/>
      </c>
      <c r="M831" s="8" t="str">
        <f t="shared" si="7"/>
        <v/>
      </c>
      <c r="N831" s="3" t="str">
        <f t="shared" si="4"/>
        <v>GSTIN &amp; Invoice No not entered</v>
      </c>
      <c r="O831" s="9" t="str">
        <f t="shared" si="5"/>
        <v/>
      </c>
      <c r="P831" s="3" t="str">
        <f t="shared" si="6"/>
        <v/>
      </c>
      <c r="Q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 t="str">
        <f t="shared" si="2"/>
        <v/>
      </c>
      <c r="M832" s="8" t="str">
        <f t="shared" si="7"/>
        <v/>
      </c>
      <c r="N832" s="3" t="str">
        <f t="shared" si="4"/>
        <v>GSTIN &amp; Invoice No not entered</v>
      </c>
      <c r="O832" s="9" t="str">
        <f t="shared" si="5"/>
        <v/>
      </c>
      <c r="P832" s="3" t="str">
        <f t="shared" si="6"/>
        <v/>
      </c>
      <c r="Q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 t="str">
        <f t="shared" si="2"/>
        <v/>
      </c>
      <c r="M833" s="8" t="str">
        <f t="shared" si="7"/>
        <v/>
      </c>
      <c r="N833" s="3" t="str">
        <f t="shared" si="4"/>
        <v>GSTIN &amp; Invoice No not entered</v>
      </c>
      <c r="O833" s="9" t="str">
        <f t="shared" si="5"/>
        <v/>
      </c>
      <c r="P833" s="3" t="str">
        <f t="shared" si="6"/>
        <v/>
      </c>
      <c r="Q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 t="str">
        <f t="shared" si="2"/>
        <v/>
      </c>
      <c r="M834" s="8" t="str">
        <f t="shared" si="7"/>
        <v/>
      </c>
      <c r="N834" s="3" t="str">
        <f t="shared" si="4"/>
        <v>GSTIN &amp; Invoice No not entered</v>
      </c>
      <c r="O834" s="9" t="str">
        <f t="shared" si="5"/>
        <v/>
      </c>
      <c r="P834" s="3" t="str">
        <f t="shared" si="6"/>
        <v/>
      </c>
      <c r="Q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 t="str">
        <f t="shared" si="2"/>
        <v/>
      </c>
      <c r="M835" s="8" t="str">
        <f t="shared" si="7"/>
        <v/>
      </c>
      <c r="N835" s="3" t="str">
        <f t="shared" si="4"/>
        <v>GSTIN &amp; Invoice No not entered</v>
      </c>
      <c r="O835" s="9" t="str">
        <f t="shared" si="5"/>
        <v/>
      </c>
      <c r="P835" s="3" t="str">
        <f t="shared" si="6"/>
        <v/>
      </c>
      <c r="Q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 t="str">
        <f t="shared" si="2"/>
        <v/>
      </c>
      <c r="M836" s="8" t="str">
        <f t="shared" si="7"/>
        <v/>
      </c>
      <c r="N836" s="3" t="str">
        <f t="shared" si="4"/>
        <v>GSTIN &amp; Invoice No not entered</v>
      </c>
      <c r="O836" s="9" t="str">
        <f t="shared" si="5"/>
        <v/>
      </c>
      <c r="P836" s="3" t="str">
        <f t="shared" si="6"/>
        <v/>
      </c>
      <c r="Q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 t="str">
        <f t="shared" si="2"/>
        <v/>
      </c>
      <c r="M837" s="8" t="str">
        <f t="shared" si="7"/>
        <v/>
      </c>
      <c r="N837" s="3" t="str">
        <f t="shared" si="4"/>
        <v>GSTIN &amp; Invoice No not entered</v>
      </c>
      <c r="O837" s="9" t="str">
        <f t="shared" si="5"/>
        <v/>
      </c>
      <c r="P837" s="3" t="str">
        <f t="shared" si="6"/>
        <v/>
      </c>
      <c r="Q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 t="str">
        <f t="shared" si="2"/>
        <v/>
      </c>
      <c r="M838" s="8" t="str">
        <f t="shared" si="7"/>
        <v/>
      </c>
      <c r="N838" s="3" t="str">
        <f t="shared" si="4"/>
        <v>GSTIN &amp; Invoice No not entered</v>
      </c>
      <c r="O838" s="9" t="str">
        <f t="shared" si="5"/>
        <v/>
      </c>
      <c r="P838" s="3" t="str">
        <f t="shared" si="6"/>
        <v/>
      </c>
      <c r="Q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 t="str">
        <f t="shared" si="2"/>
        <v/>
      </c>
      <c r="M839" s="8" t="str">
        <f t="shared" si="7"/>
        <v/>
      </c>
      <c r="N839" s="3" t="str">
        <f t="shared" si="4"/>
        <v>GSTIN &amp; Invoice No not entered</v>
      </c>
      <c r="O839" s="9" t="str">
        <f t="shared" si="5"/>
        <v/>
      </c>
      <c r="P839" s="3" t="str">
        <f t="shared" si="6"/>
        <v/>
      </c>
      <c r="Q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 t="str">
        <f t="shared" si="2"/>
        <v/>
      </c>
      <c r="M840" s="8" t="str">
        <f t="shared" si="7"/>
        <v/>
      </c>
      <c r="N840" s="3" t="str">
        <f t="shared" si="4"/>
        <v>GSTIN &amp; Invoice No not entered</v>
      </c>
      <c r="O840" s="9" t="str">
        <f t="shared" si="5"/>
        <v/>
      </c>
      <c r="P840" s="3" t="str">
        <f t="shared" si="6"/>
        <v/>
      </c>
      <c r="Q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 t="str">
        <f t="shared" si="2"/>
        <v/>
      </c>
      <c r="M841" s="8" t="str">
        <f t="shared" si="7"/>
        <v/>
      </c>
      <c r="N841" s="3" t="str">
        <f t="shared" si="4"/>
        <v>GSTIN &amp; Invoice No not entered</v>
      </c>
      <c r="O841" s="9" t="str">
        <f t="shared" si="5"/>
        <v/>
      </c>
      <c r="P841" s="3" t="str">
        <f t="shared" si="6"/>
        <v/>
      </c>
      <c r="Q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 t="str">
        <f t="shared" si="2"/>
        <v/>
      </c>
      <c r="M842" s="8" t="str">
        <f t="shared" si="7"/>
        <v/>
      </c>
      <c r="N842" s="3" t="str">
        <f t="shared" si="4"/>
        <v>GSTIN &amp; Invoice No not entered</v>
      </c>
      <c r="O842" s="9" t="str">
        <f t="shared" si="5"/>
        <v/>
      </c>
      <c r="P842" s="3" t="str">
        <f t="shared" si="6"/>
        <v/>
      </c>
      <c r="Q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 t="str">
        <f t="shared" si="2"/>
        <v/>
      </c>
      <c r="M843" s="8" t="str">
        <f t="shared" si="7"/>
        <v/>
      </c>
      <c r="N843" s="3" t="str">
        <f t="shared" si="4"/>
        <v>GSTIN &amp; Invoice No not entered</v>
      </c>
      <c r="O843" s="9" t="str">
        <f t="shared" si="5"/>
        <v/>
      </c>
      <c r="P843" s="3" t="str">
        <f t="shared" si="6"/>
        <v/>
      </c>
      <c r="Q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 t="str">
        <f t="shared" si="2"/>
        <v/>
      </c>
      <c r="M844" s="8" t="str">
        <f t="shared" si="7"/>
        <v/>
      </c>
      <c r="N844" s="3" t="str">
        <f t="shared" si="4"/>
        <v>GSTIN &amp; Invoice No not entered</v>
      </c>
      <c r="O844" s="9" t="str">
        <f t="shared" si="5"/>
        <v/>
      </c>
      <c r="P844" s="3" t="str">
        <f t="shared" si="6"/>
        <v/>
      </c>
      <c r="Q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 t="str">
        <f t="shared" si="2"/>
        <v/>
      </c>
      <c r="M845" s="8" t="str">
        <f t="shared" si="7"/>
        <v/>
      </c>
      <c r="N845" s="3" t="str">
        <f t="shared" si="4"/>
        <v>GSTIN &amp; Invoice No not entered</v>
      </c>
      <c r="O845" s="9" t="str">
        <f t="shared" si="5"/>
        <v/>
      </c>
      <c r="P845" s="3" t="str">
        <f t="shared" si="6"/>
        <v/>
      </c>
      <c r="Q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 t="str">
        <f t="shared" si="2"/>
        <v/>
      </c>
      <c r="M846" s="8" t="str">
        <f t="shared" si="7"/>
        <v/>
      </c>
      <c r="N846" s="3" t="str">
        <f t="shared" si="4"/>
        <v>GSTIN &amp; Invoice No not entered</v>
      </c>
      <c r="O846" s="9" t="str">
        <f t="shared" si="5"/>
        <v/>
      </c>
      <c r="P846" s="3" t="str">
        <f t="shared" si="6"/>
        <v/>
      </c>
      <c r="Q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 t="str">
        <f t="shared" si="2"/>
        <v/>
      </c>
      <c r="M847" s="8" t="str">
        <f t="shared" si="7"/>
        <v/>
      </c>
      <c r="N847" s="3" t="str">
        <f t="shared" si="4"/>
        <v>GSTIN &amp; Invoice No not entered</v>
      </c>
      <c r="O847" s="9" t="str">
        <f t="shared" si="5"/>
        <v/>
      </c>
      <c r="P847" s="3" t="str">
        <f t="shared" si="6"/>
        <v/>
      </c>
      <c r="Q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 t="str">
        <f t="shared" si="2"/>
        <v/>
      </c>
      <c r="M848" s="8" t="str">
        <f t="shared" si="7"/>
        <v/>
      </c>
      <c r="N848" s="3" t="str">
        <f t="shared" si="4"/>
        <v>GSTIN &amp; Invoice No not entered</v>
      </c>
      <c r="O848" s="9" t="str">
        <f t="shared" si="5"/>
        <v/>
      </c>
      <c r="P848" s="3" t="str">
        <f t="shared" si="6"/>
        <v/>
      </c>
      <c r="Q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 t="str">
        <f t="shared" si="2"/>
        <v/>
      </c>
      <c r="M849" s="8" t="str">
        <f t="shared" si="7"/>
        <v/>
      </c>
      <c r="N849" s="3" t="str">
        <f t="shared" si="4"/>
        <v>GSTIN &amp; Invoice No not entered</v>
      </c>
      <c r="O849" s="9" t="str">
        <f t="shared" si="5"/>
        <v/>
      </c>
      <c r="P849" s="3" t="str">
        <f t="shared" si="6"/>
        <v/>
      </c>
      <c r="Q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 t="str">
        <f t="shared" si="2"/>
        <v/>
      </c>
      <c r="M850" s="8" t="str">
        <f t="shared" si="7"/>
        <v/>
      </c>
      <c r="N850" s="3" t="str">
        <f t="shared" si="4"/>
        <v>GSTIN &amp; Invoice No not entered</v>
      </c>
      <c r="O850" s="9" t="str">
        <f t="shared" si="5"/>
        <v/>
      </c>
      <c r="P850" s="3" t="str">
        <f t="shared" si="6"/>
        <v/>
      </c>
      <c r="Q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 t="str">
        <f t="shared" si="2"/>
        <v/>
      </c>
      <c r="M851" s="8" t="str">
        <f t="shared" si="7"/>
        <v/>
      </c>
      <c r="N851" s="3" t="str">
        <f t="shared" si="4"/>
        <v>GSTIN &amp; Invoice No not entered</v>
      </c>
      <c r="O851" s="9" t="str">
        <f t="shared" si="5"/>
        <v/>
      </c>
      <c r="P851" s="3" t="str">
        <f t="shared" si="6"/>
        <v/>
      </c>
      <c r="Q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 t="str">
        <f t="shared" si="2"/>
        <v/>
      </c>
      <c r="M852" s="8" t="str">
        <f t="shared" si="7"/>
        <v/>
      </c>
      <c r="N852" s="3" t="str">
        <f t="shared" si="4"/>
        <v>GSTIN &amp; Invoice No not entered</v>
      </c>
      <c r="O852" s="9" t="str">
        <f t="shared" si="5"/>
        <v/>
      </c>
      <c r="P852" s="3" t="str">
        <f t="shared" si="6"/>
        <v/>
      </c>
      <c r="Q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 t="str">
        <f t="shared" si="2"/>
        <v/>
      </c>
      <c r="M853" s="8" t="str">
        <f t="shared" si="7"/>
        <v/>
      </c>
      <c r="N853" s="3" t="str">
        <f t="shared" si="4"/>
        <v>GSTIN &amp; Invoice No not entered</v>
      </c>
      <c r="O853" s="9" t="str">
        <f t="shared" si="5"/>
        <v/>
      </c>
      <c r="P853" s="3" t="str">
        <f t="shared" si="6"/>
        <v/>
      </c>
      <c r="Q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 t="str">
        <f t="shared" si="2"/>
        <v/>
      </c>
      <c r="M854" s="8" t="str">
        <f t="shared" si="7"/>
        <v/>
      </c>
      <c r="N854" s="3" t="str">
        <f t="shared" si="4"/>
        <v>GSTIN &amp; Invoice No not entered</v>
      </c>
      <c r="O854" s="9" t="str">
        <f t="shared" si="5"/>
        <v/>
      </c>
      <c r="P854" s="3" t="str">
        <f t="shared" si="6"/>
        <v/>
      </c>
      <c r="Q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 t="str">
        <f t="shared" si="2"/>
        <v/>
      </c>
      <c r="M855" s="8" t="str">
        <f t="shared" si="7"/>
        <v/>
      </c>
      <c r="N855" s="3" t="str">
        <f t="shared" si="4"/>
        <v>GSTIN &amp; Invoice No not entered</v>
      </c>
      <c r="O855" s="9" t="str">
        <f t="shared" si="5"/>
        <v/>
      </c>
      <c r="P855" s="3" t="str">
        <f t="shared" si="6"/>
        <v/>
      </c>
      <c r="Q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 t="str">
        <f t="shared" si="2"/>
        <v/>
      </c>
      <c r="M856" s="8" t="str">
        <f t="shared" si="7"/>
        <v/>
      </c>
      <c r="N856" s="3" t="str">
        <f t="shared" si="4"/>
        <v>GSTIN &amp; Invoice No not entered</v>
      </c>
      <c r="O856" s="9" t="str">
        <f t="shared" si="5"/>
        <v/>
      </c>
      <c r="P856" s="3" t="str">
        <f t="shared" si="6"/>
        <v/>
      </c>
      <c r="Q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 t="str">
        <f t="shared" si="2"/>
        <v/>
      </c>
      <c r="M857" s="8" t="str">
        <f t="shared" si="7"/>
        <v/>
      </c>
      <c r="N857" s="3" t="str">
        <f t="shared" si="4"/>
        <v>GSTIN &amp; Invoice No not entered</v>
      </c>
      <c r="O857" s="9" t="str">
        <f t="shared" si="5"/>
        <v/>
      </c>
      <c r="P857" s="3" t="str">
        <f t="shared" si="6"/>
        <v/>
      </c>
      <c r="Q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 t="str">
        <f t="shared" si="2"/>
        <v/>
      </c>
      <c r="M858" s="8" t="str">
        <f t="shared" si="7"/>
        <v/>
      </c>
      <c r="N858" s="3" t="str">
        <f t="shared" si="4"/>
        <v>GSTIN &amp; Invoice No not entered</v>
      </c>
      <c r="O858" s="9" t="str">
        <f t="shared" si="5"/>
        <v/>
      </c>
      <c r="P858" s="3" t="str">
        <f t="shared" si="6"/>
        <v/>
      </c>
      <c r="Q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 t="str">
        <f t="shared" si="2"/>
        <v/>
      </c>
      <c r="M859" s="8" t="str">
        <f t="shared" si="7"/>
        <v/>
      </c>
      <c r="N859" s="3" t="str">
        <f t="shared" si="4"/>
        <v>GSTIN &amp; Invoice No not entered</v>
      </c>
      <c r="O859" s="9" t="str">
        <f t="shared" si="5"/>
        <v/>
      </c>
      <c r="P859" s="3" t="str">
        <f t="shared" si="6"/>
        <v/>
      </c>
      <c r="Q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 t="str">
        <f t="shared" si="2"/>
        <v/>
      </c>
      <c r="M860" s="8" t="str">
        <f t="shared" si="7"/>
        <v/>
      </c>
      <c r="N860" s="3" t="str">
        <f t="shared" si="4"/>
        <v>GSTIN &amp; Invoice No not entered</v>
      </c>
      <c r="O860" s="9" t="str">
        <f t="shared" si="5"/>
        <v/>
      </c>
      <c r="P860" s="3" t="str">
        <f t="shared" si="6"/>
        <v/>
      </c>
      <c r="Q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 t="str">
        <f t="shared" si="2"/>
        <v/>
      </c>
      <c r="M861" s="8" t="str">
        <f t="shared" si="7"/>
        <v/>
      </c>
      <c r="N861" s="3" t="str">
        <f t="shared" si="4"/>
        <v>GSTIN &amp; Invoice No not entered</v>
      </c>
      <c r="O861" s="9" t="str">
        <f t="shared" si="5"/>
        <v/>
      </c>
      <c r="P861" s="3" t="str">
        <f t="shared" si="6"/>
        <v/>
      </c>
      <c r="Q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 t="str">
        <f t="shared" si="2"/>
        <v/>
      </c>
      <c r="M862" s="8" t="str">
        <f t="shared" si="7"/>
        <v/>
      </c>
      <c r="N862" s="3" t="str">
        <f t="shared" si="4"/>
        <v>GSTIN &amp; Invoice No not entered</v>
      </c>
      <c r="O862" s="9" t="str">
        <f t="shared" si="5"/>
        <v/>
      </c>
      <c r="P862" s="3" t="str">
        <f t="shared" si="6"/>
        <v/>
      </c>
      <c r="Q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 t="str">
        <f t="shared" si="2"/>
        <v/>
      </c>
      <c r="M863" s="8" t="str">
        <f t="shared" si="7"/>
        <v/>
      </c>
      <c r="N863" s="3" t="str">
        <f t="shared" si="4"/>
        <v>GSTIN &amp; Invoice No not entered</v>
      </c>
      <c r="O863" s="9" t="str">
        <f t="shared" si="5"/>
        <v/>
      </c>
      <c r="P863" s="3" t="str">
        <f t="shared" si="6"/>
        <v/>
      </c>
      <c r="Q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 t="str">
        <f t="shared" si="2"/>
        <v/>
      </c>
      <c r="M864" s="8" t="str">
        <f t="shared" si="7"/>
        <v/>
      </c>
      <c r="N864" s="3" t="str">
        <f t="shared" si="4"/>
        <v>GSTIN &amp; Invoice No not entered</v>
      </c>
      <c r="O864" s="9" t="str">
        <f t="shared" si="5"/>
        <v/>
      </c>
      <c r="P864" s="3" t="str">
        <f t="shared" si="6"/>
        <v/>
      </c>
      <c r="Q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 t="str">
        <f t="shared" si="2"/>
        <v/>
      </c>
      <c r="M865" s="8" t="str">
        <f t="shared" si="7"/>
        <v/>
      </c>
      <c r="N865" s="3" t="str">
        <f t="shared" si="4"/>
        <v>GSTIN &amp; Invoice No not entered</v>
      </c>
      <c r="O865" s="9" t="str">
        <f t="shared" si="5"/>
        <v/>
      </c>
      <c r="P865" s="3" t="str">
        <f t="shared" si="6"/>
        <v/>
      </c>
      <c r="Q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 t="str">
        <f t="shared" si="2"/>
        <v/>
      </c>
      <c r="M866" s="8" t="str">
        <f t="shared" si="7"/>
        <v/>
      </c>
      <c r="N866" s="3" t="str">
        <f t="shared" si="4"/>
        <v>GSTIN &amp; Invoice No not entered</v>
      </c>
      <c r="O866" s="9" t="str">
        <f t="shared" si="5"/>
        <v/>
      </c>
      <c r="P866" s="3" t="str">
        <f t="shared" si="6"/>
        <v/>
      </c>
      <c r="Q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 t="str">
        <f t="shared" si="2"/>
        <v/>
      </c>
      <c r="M867" s="8" t="str">
        <f t="shared" si="7"/>
        <v/>
      </c>
      <c r="N867" s="3" t="str">
        <f t="shared" si="4"/>
        <v>GSTIN &amp; Invoice No not entered</v>
      </c>
      <c r="O867" s="9" t="str">
        <f t="shared" si="5"/>
        <v/>
      </c>
      <c r="P867" s="3" t="str">
        <f t="shared" si="6"/>
        <v/>
      </c>
      <c r="Q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 t="str">
        <f t="shared" si="2"/>
        <v/>
      </c>
      <c r="M868" s="8" t="str">
        <f t="shared" si="7"/>
        <v/>
      </c>
      <c r="N868" s="3" t="str">
        <f t="shared" si="4"/>
        <v>GSTIN &amp; Invoice No not entered</v>
      </c>
      <c r="O868" s="9" t="str">
        <f t="shared" si="5"/>
        <v/>
      </c>
      <c r="P868" s="3" t="str">
        <f t="shared" si="6"/>
        <v/>
      </c>
      <c r="Q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 t="str">
        <f t="shared" si="2"/>
        <v/>
      </c>
      <c r="M869" s="8" t="str">
        <f t="shared" si="7"/>
        <v/>
      </c>
      <c r="N869" s="3" t="str">
        <f t="shared" si="4"/>
        <v>GSTIN &amp; Invoice No not entered</v>
      </c>
      <c r="O869" s="9" t="str">
        <f t="shared" si="5"/>
        <v/>
      </c>
      <c r="P869" s="3" t="str">
        <f t="shared" si="6"/>
        <v/>
      </c>
      <c r="Q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 t="str">
        <f t="shared" si="2"/>
        <v/>
      </c>
      <c r="M870" s="8" t="str">
        <f t="shared" si="7"/>
        <v/>
      </c>
      <c r="N870" s="3" t="str">
        <f t="shared" si="4"/>
        <v>GSTIN &amp; Invoice No not entered</v>
      </c>
      <c r="O870" s="9" t="str">
        <f t="shared" si="5"/>
        <v/>
      </c>
      <c r="P870" s="3" t="str">
        <f t="shared" si="6"/>
        <v/>
      </c>
      <c r="Q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 t="str">
        <f t="shared" si="2"/>
        <v/>
      </c>
      <c r="M871" s="8" t="str">
        <f t="shared" si="7"/>
        <v/>
      </c>
      <c r="N871" s="3" t="str">
        <f t="shared" si="4"/>
        <v>GSTIN &amp; Invoice No not entered</v>
      </c>
      <c r="O871" s="9" t="str">
        <f t="shared" si="5"/>
        <v/>
      </c>
      <c r="P871" s="3" t="str">
        <f t="shared" si="6"/>
        <v/>
      </c>
      <c r="Q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 t="str">
        <f t="shared" si="2"/>
        <v/>
      </c>
      <c r="M872" s="8" t="str">
        <f t="shared" si="7"/>
        <v/>
      </c>
      <c r="N872" s="3" t="str">
        <f t="shared" si="4"/>
        <v>GSTIN &amp; Invoice No not entered</v>
      </c>
      <c r="O872" s="9" t="str">
        <f t="shared" si="5"/>
        <v/>
      </c>
      <c r="P872" s="3" t="str">
        <f t="shared" si="6"/>
        <v/>
      </c>
      <c r="Q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 t="str">
        <f t="shared" si="2"/>
        <v/>
      </c>
      <c r="M873" s="8" t="str">
        <f t="shared" si="7"/>
        <v/>
      </c>
      <c r="N873" s="3" t="str">
        <f t="shared" si="4"/>
        <v>GSTIN &amp; Invoice No not entered</v>
      </c>
      <c r="O873" s="9" t="str">
        <f t="shared" si="5"/>
        <v/>
      </c>
      <c r="P873" s="3" t="str">
        <f t="shared" si="6"/>
        <v/>
      </c>
      <c r="Q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 t="str">
        <f t="shared" si="2"/>
        <v/>
      </c>
      <c r="M874" s="8" t="str">
        <f t="shared" si="7"/>
        <v/>
      </c>
      <c r="N874" s="3" t="str">
        <f t="shared" si="4"/>
        <v>GSTIN &amp; Invoice No not entered</v>
      </c>
      <c r="O874" s="9" t="str">
        <f t="shared" si="5"/>
        <v/>
      </c>
      <c r="P874" s="3" t="str">
        <f t="shared" si="6"/>
        <v/>
      </c>
      <c r="Q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 t="str">
        <f t="shared" si="2"/>
        <v/>
      </c>
      <c r="M875" s="8" t="str">
        <f t="shared" si="7"/>
        <v/>
      </c>
      <c r="N875" s="3" t="str">
        <f t="shared" si="4"/>
        <v>GSTIN &amp; Invoice No not entered</v>
      </c>
      <c r="O875" s="9" t="str">
        <f t="shared" si="5"/>
        <v/>
      </c>
      <c r="P875" s="3" t="str">
        <f t="shared" si="6"/>
        <v/>
      </c>
      <c r="Q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 t="str">
        <f t="shared" si="2"/>
        <v/>
      </c>
      <c r="M876" s="8" t="str">
        <f t="shared" si="7"/>
        <v/>
      </c>
      <c r="N876" s="3" t="str">
        <f t="shared" si="4"/>
        <v>GSTIN &amp; Invoice No not entered</v>
      </c>
      <c r="O876" s="9" t="str">
        <f t="shared" si="5"/>
        <v/>
      </c>
      <c r="P876" s="3" t="str">
        <f t="shared" si="6"/>
        <v/>
      </c>
      <c r="Q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 t="str">
        <f t="shared" si="2"/>
        <v/>
      </c>
      <c r="M877" s="8" t="str">
        <f t="shared" si="7"/>
        <v/>
      </c>
      <c r="N877" s="3" t="str">
        <f t="shared" si="4"/>
        <v>GSTIN &amp; Invoice No not entered</v>
      </c>
      <c r="O877" s="9" t="str">
        <f t="shared" si="5"/>
        <v/>
      </c>
      <c r="P877" s="3" t="str">
        <f t="shared" si="6"/>
        <v/>
      </c>
      <c r="Q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 t="str">
        <f t="shared" si="2"/>
        <v/>
      </c>
      <c r="M878" s="8" t="str">
        <f t="shared" si="7"/>
        <v/>
      </c>
      <c r="N878" s="3" t="str">
        <f t="shared" si="4"/>
        <v>GSTIN &amp; Invoice No not entered</v>
      </c>
      <c r="O878" s="9" t="str">
        <f t="shared" si="5"/>
        <v/>
      </c>
      <c r="P878" s="3" t="str">
        <f t="shared" si="6"/>
        <v/>
      </c>
      <c r="Q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 t="str">
        <f t="shared" si="2"/>
        <v/>
      </c>
      <c r="M879" s="8" t="str">
        <f t="shared" si="7"/>
        <v/>
      </c>
      <c r="N879" s="3" t="str">
        <f t="shared" si="4"/>
        <v>GSTIN &amp; Invoice No not entered</v>
      </c>
      <c r="O879" s="9" t="str">
        <f t="shared" si="5"/>
        <v/>
      </c>
      <c r="P879" s="3" t="str">
        <f t="shared" si="6"/>
        <v/>
      </c>
      <c r="Q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 t="str">
        <f t="shared" si="2"/>
        <v/>
      </c>
      <c r="M880" s="8" t="str">
        <f t="shared" si="7"/>
        <v/>
      </c>
      <c r="N880" s="3" t="str">
        <f t="shared" si="4"/>
        <v>GSTIN &amp; Invoice No not entered</v>
      </c>
      <c r="O880" s="9" t="str">
        <f t="shared" si="5"/>
        <v/>
      </c>
      <c r="P880" s="3" t="str">
        <f t="shared" si="6"/>
        <v/>
      </c>
      <c r="Q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 t="str">
        <f t="shared" si="2"/>
        <v/>
      </c>
      <c r="M881" s="8" t="str">
        <f t="shared" si="7"/>
        <v/>
      </c>
      <c r="N881" s="3" t="str">
        <f t="shared" si="4"/>
        <v>GSTIN &amp; Invoice No not entered</v>
      </c>
      <c r="O881" s="9" t="str">
        <f t="shared" si="5"/>
        <v/>
      </c>
      <c r="P881" s="3" t="str">
        <f t="shared" si="6"/>
        <v/>
      </c>
      <c r="Q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 t="str">
        <f t="shared" si="2"/>
        <v/>
      </c>
      <c r="M882" s="8" t="str">
        <f t="shared" si="7"/>
        <v/>
      </c>
      <c r="N882" s="3" t="str">
        <f t="shared" si="4"/>
        <v>GSTIN &amp; Invoice No not entered</v>
      </c>
      <c r="O882" s="9" t="str">
        <f t="shared" si="5"/>
        <v/>
      </c>
      <c r="P882" s="3" t="str">
        <f t="shared" si="6"/>
        <v/>
      </c>
      <c r="Q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 t="str">
        <f t="shared" si="2"/>
        <v/>
      </c>
      <c r="M883" s="8" t="str">
        <f t="shared" si="7"/>
        <v/>
      </c>
      <c r="N883" s="3" t="str">
        <f t="shared" si="4"/>
        <v>GSTIN &amp; Invoice No not entered</v>
      </c>
      <c r="O883" s="9" t="str">
        <f t="shared" si="5"/>
        <v/>
      </c>
      <c r="P883" s="3" t="str">
        <f t="shared" si="6"/>
        <v/>
      </c>
      <c r="Q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 t="str">
        <f t="shared" si="2"/>
        <v/>
      </c>
      <c r="M884" s="8" t="str">
        <f t="shared" si="7"/>
        <v/>
      </c>
      <c r="N884" s="3" t="str">
        <f t="shared" si="4"/>
        <v>GSTIN &amp; Invoice No not entered</v>
      </c>
      <c r="O884" s="9" t="str">
        <f t="shared" si="5"/>
        <v/>
      </c>
      <c r="P884" s="3" t="str">
        <f t="shared" si="6"/>
        <v/>
      </c>
      <c r="Q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 t="str">
        <f t="shared" si="2"/>
        <v/>
      </c>
      <c r="M885" s="8" t="str">
        <f t="shared" si="7"/>
        <v/>
      </c>
      <c r="N885" s="3" t="str">
        <f t="shared" si="4"/>
        <v>GSTIN &amp; Invoice No not entered</v>
      </c>
      <c r="O885" s="9" t="str">
        <f t="shared" si="5"/>
        <v/>
      </c>
      <c r="P885" s="3" t="str">
        <f t="shared" si="6"/>
        <v/>
      </c>
      <c r="Q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 t="str">
        <f t="shared" si="2"/>
        <v/>
      </c>
      <c r="M886" s="8" t="str">
        <f t="shared" si="7"/>
        <v/>
      </c>
      <c r="N886" s="3" t="str">
        <f t="shared" si="4"/>
        <v>GSTIN &amp; Invoice No not entered</v>
      </c>
      <c r="O886" s="9" t="str">
        <f t="shared" si="5"/>
        <v/>
      </c>
      <c r="P886" s="3" t="str">
        <f t="shared" si="6"/>
        <v/>
      </c>
      <c r="Q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 t="str">
        <f t="shared" si="2"/>
        <v/>
      </c>
      <c r="M887" s="8" t="str">
        <f t="shared" si="7"/>
        <v/>
      </c>
      <c r="N887" s="3" t="str">
        <f t="shared" si="4"/>
        <v>GSTIN &amp; Invoice No not entered</v>
      </c>
      <c r="O887" s="9" t="str">
        <f t="shared" si="5"/>
        <v/>
      </c>
      <c r="P887" s="3" t="str">
        <f t="shared" si="6"/>
        <v/>
      </c>
      <c r="Q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 t="str">
        <f t="shared" si="2"/>
        <v/>
      </c>
      <c r="M888" s="8" t="str">
        <f t="shared" si="7"/>
        <v/>
      </c>
      <c r="N888" s="3" t="str">
        <f t="shared" si="4"/>
        <v>GSTIN &amp; Invoice No not entered</v>
      </c>
      <c r="O888" s="9" t="str">
        <f t="shared" si="5"/>
        <v/>
      </c>
      <c r="P888" s="3" t="str">
        <f t="shared" si="6"/>
        <v/>
      </c>
      <c r="Q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 t="str">
        <f t="shared" si="2"/>
        <v/>
      </c>
      <c r="M889" s="8" t="str">
        <f t="shared" si="7"/>
        <v/>
      </c>
      <c r="N889" s="3" t="str">
        <f t="shared" si="4"/>
        <v>GSTIN &amp; Invoice No not entered</v>
      </c>
      <c r="O889" s="9" t="str">
        <f t="shared" si="5"/>
        <v/>
      </c>
      <c r="P889" s="3" t="str">
        <f t="shared" si="6"/>
        <v/>
      </c>
      <c r="Q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 t="str">
        <f t="shared" si="2"/>
        <v/>
      </c>
      <c r="M890" s="8" t="str">
        <f t="shared" si="7"/>
        <v/>
      </c>
      <c r="N890" s="3" t="str">
        <f t="shared" si="4"/>
        <v>GSTIN &amp; Invoice No not entered</v>
      </c>
      <c r="O890" s="9" t="str">
        <f t="shared" si="5"/>
        <v/>
      </c>
      <c r="P890" s="3" t="str">
        <f t="shared" si="6"/>
        <v/>
      </c>
      <c r="Q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 t="str">
        <f t="shared" si="2"/>
        <v/>
      </c>
      <c r="M891" s="8" t="str">
        <f t="shared" si="7"/>
        <v/>
      </c>
      <c r="N891" s="3" t="str">
        <f t="shared" si="4"/>
        <v>GSTIN &amp; Invoice No not entered</v>
      </c>
      <c r="O891" s="9" t="str">
        <f t="shared" si="5"/>
        <v/>
      </c>
      <c r="P891" s="3" t="str">
        <f t="shared" si="6"/>
        <v/>
      </c>
      <c r="Q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 t="str">
        <f t="shared" si="2"/>
        <v/>
      </c>
      <c r="M892" s="8" t="str">
        <f t="shared" si="7"/>
        <v/>
      </c>
      <c r="N892" s="3" t="str">
        <f t="shared" si="4"/>
        <v>GSTIN &amp; Invoice No not entered</v>
      </c>
      <c r="O892" s="9" t="str">
        <f t="shared" si="5"/>
        <v/>
      </c>
      <c r="P892" s="3" t="str">
        <f t="shared" si="6"/>
        <v/>
      </c>
      <c r="Q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 t="str">
        <f t="shared" si="2"/>
        <v/>
      </c>
      <c r="M893" s="8" t="str">
        <f t="shared" si="7"/>
        <v/>
      </c>
      <c r="N893" s="3" t="str">
        <f t="shared" si="4"/>
        <v>GSTIN &amp; Invoice No not entered</v>
      </c>
      <c r="O893" s="9" t="str">
        <f t="shared" si="5"/>
        <v/>
      </c>
      <c r="P893" s="3" t="str">
        <f t="shared" si="6"/>
        <v/>
      </c>
      <c r="Q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 t="str">
        <f t="shared" si="2"/>
        <v/>
      </c>
      <c r="M894" s="8" t="str">
        <f t="shared" si="7"/>
        <v/>
      </c>
      <c r="N894" s="3" t="str">
        <f t="shared" si="4"/>
        <v>GSTIN &amp; Invoice No not entered</v>
      </c>
      <c r="O894" s="9" t="str">
        <f t="shared" si="5"/>
        <v/>
      </c>
      <c r="P894" s="3" t="str">
        <f t="shared" si="6"/>
        <v/>
      </c>
      <c r="Q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 t="str">
        <f t="shared" si="2"/>
        <v/>
      </c>
      <c r="M895" s="8" t="str">
        <f t="shared" si="7"/>
        <v/>
      </c>
      <c r="N895" s="3" t="str">
        <f t="shared" si="4"/>
        <v>GSTIN &amp; Invoice No not entered</v>
      </c>
      <c r="O895" s="9" t="str">
        <f t="shared" si="5"/>
        <v/>
      </c>
      <c r="P895" s="3" t="str">
        <f t="shared" si="6"/>
        <v/>
      </c>
      <c r="Q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 t="str">
        <f t="shared" si="2"/>
        <v/>
      </c>
      <c r="M896" s="8" t="str">
        <f t="shared" si="7"/>
        <v/>
      </c>
      <c r="N896" s="3" t="str">
        <f t="shared" si="4"/>
        <v>GSTIN &amp; Invoice No not entered</v>
      </c>
      <c r="O896" s="9" t="str">
        <f t="shared" si="5"/>
        <v/>
      </c>
      <c r="P896" s="3" t="str">
        <f t="shared" si="6"/>
        <v/>
      </c>
      <c r="Q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 t="str">
        <f t="shared" si="2"/>
        <v/>
      </c>
      <c r="M897" s="8" t="str">
        <f t="shared" si="7"/>
        <v/>
      </c>
      <c r="N897" s="3" t="str">
        <f t="shared" si="4"/>
        <v>GSTIN &amp; Invoice No not entered</v>
      </c>
      <c r="O897" s="9" t="str">
        <f t="shared" si="5"/>
        <v/>
      </c>
      <c r="P897" s="3" t="str">
        <f t="shared" si="6"/>
        <v/>
      </c>
      <c r="Q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 t="str">
        <f t="shared" si="2"/>
        <v/>
      </c>
      <c r="M898" s="8" t="str">
        <f t="shared" si="7"/>
        <v/>
      </c>
      <c r="N898" s="3" t="str">
        <f t="shared" si="4"/>
        <v>GSTIN &amp; Invoice No not entered</v>
      </c>
      <c r="O898" s="9" t="str">
        <f t="shared" si="5"/>
        <v/>
      </c>
      <c r="P898" s="3" t="str">
        <f t="shared" si="6"/>
        <v/>
      </c>
      <c r="Q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 t="str">
        <f t="shared" si="2"/>
        <v/>
      </c>
      <c r="M899" s="8" t="str">
        <f t="shared" si="7"/>
        <v/>
      </c>
      <c r="N899" s="3" t="str">
        <f t="shared" si="4"/>
        <v>GSTIN &amp; Invoice No not entered</v>
      </c>
      <c r="O899" s="9" t="str">
        <f t="shared" si="5"/>
        <v/>
      </c>
      <c r="P899" s="3" t="str">
        <f t="shared" si="6"/>
        <v/>
      </c>
      <c r="Q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 t="str">
        <f t="shared" si="2"/>
        <v/>
      </c>
      <c r="M900" s="8" t="str">
        <f t="shared" si="7"/>
        <v/>
      </c>
      <c r="N900" s="3" t="str">
        <f t="shared" si="4"/>
        <v>GSTIN &amp; Invoice No not entered</v>
      </c>
      <c r="O900" s="9" t="str">
        <f t="shared" si="5"/>
        <v/>
      </c>
      <c r="P900" s="3" t="str">
        <f t="shared" si="6"/>
        <v/>
      </c>
      <c r="Q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 t="str">
        <f t="shared" si="2"/>
        <v/>
      </c>
      <c r="M901" s="8" t="str">
        <f t="shared" si="7"/>
        <v/>
      </c>
      <c r="N901" s="3" t="str">
        <f t="shared" si="4"/>
        <v>GSTIN &amp; Invoice No not entered</v>
      </c>
      <c r="O901" s="9" t="str">
        <f t="shared" si="5"/>
        <v/>
      </c>
      <c r="P901" s="3" t="str">
        <f t="shared" si="6"/>
        <v/>
      </c>
      <c r="Q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 t="str">
        <f t="shared" si="2"/>
        <v/>
      </c>
      <c r="M902" s="8" t="str">
        <f t="shared" si="7"/>
        <v/>
      </c>
      <c r="N902" s="3" t="str">
        <f t="shared" si="4"/>
        <v>GSTIN &amp; Invoice No not entered</v>
      </c>
      <c r="O902" s="9" t="str">
        <f t="shared" si="5"/>
        <v/>
      </c>
      <c r="P902" s="3" t="str">
        <f t="shared" si="6"/>
        <v/>
      </c>
      <c r="Q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 t="str">
        <f t="shared" si="2"/>
        <v/>
      </c>
      <c r="M903" s="8" t="str">
        <f t="shared" si="7"/>
        <v/>
      </c>
      <c r="N903" s="3" t="str">
        <f t="shared" si="4"/>
        <v>GSTIN &amp; Invoice No not entered</v>
      </c>
      <c r="O903" s="9" t="str">
        <f t="shared" si="5"/>
        <v/>
      </c>
      <c r="P903" s="3" t="str">
        <f t="shared" si="6"/>
        <v/>
      </c>
      <c r="Q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 t="str">
        <f t="shared" si="2"/>
        <v/>
      </c>
      <c r="M904" s="8" t="str">
        <f t="shared" si="7"/>
        <v/>
      </c>
      <c r="N904" s="3" t="str">
        <f t="shared" si="4"/>
        <v>GSTIN &amp; Invoice No not entered</v>
      </c>
      <c r="O904" s="9" t="str">
        <f t="shared" si="5"/>
        <v/>
      </c>
      <c r="P904" s="3" t="str">
        <f t="shared" si="6"/>
        <v/>
      </c>
      <c r="Q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 t="str">
        <f t="shared" si="2"/>
        <v/>
      </c>
      <c r="M905" s="8" t="str">
        <f t="shared" si="7"/>
        <v/>
      </c>
      <c r="N905" s="3" t="str">
        <f t="shared" si="4"/>
        <v>GSTIN &amp; Invoice No not entered</v>
      </c>
      <c r="O905" s="9" t="str">
        <f t="shared" si="5"/>
        <v/>
      </c>
      <c r="P905" s="3" t="str">
        <f t="shared" si="6"/>
        <v/>
      </c>
      <c r="Q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 t="str">
        <f t="shared" si="2"/>
        <v/>
      </c>
      <c r="M906" s="8" t="str">
        <f t="shared" si="7"/>
        <v/>
      </c>
      <c r="N906" s="3" t="str">
        <f t="shared" si="4"/>
        <v>GSTIN &amp; Invoice No not entered</v>
      </c>
      <c r="O906" s="9" t="str">
        <f t="shared" si="5"/>
        <v/>
      </c>
      <c r="P906" s="3" t="str">
        <f t="shared" si="6"/>
        <v/>
      </c>
      <c r="Q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 t="str">
        <f t="shared" si="2"/>
        <v/>
      </c>
      <c r="M907" s="8" t="str">
        <f t="shared" si="7"/>
        <v/>
      </c>
      <c r="N907" s="3" t="str">
        <f t="shared" si="4"/>
        <v>GSTIN &amp; Invoice No not entered</v>
      </c>
      <c r="O907" s="9" t="str">
        <f t="shared" si="5"/>
        <v/>
      </c>
      <c r="P907" s="3" t="str">
        <f t="shared" si="6"/>
        <v/>
      </c>
      <c r="Q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 t="str">
        <f t="shared" si="2"/>
        <v/>
      </c>
      <c r="M908" s="8" t="str">
        <f t="shared" si="7"/>
        <v/>
      </c>
      <c r="N908" s="3" t="str">
        <f t="shared" si="4"/>
        <v>GSTIN &amp; Invoice No not entered</v>
      </c>
      <c r="O908" s="9" t="str">
        <f t="shared" si="5"/>
        <v/>
      </c>
      <c r="P908" s="3" t="str">
        <f t="shared" si="6"/>
        <v/>
      </c>
      <c r="Q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 t="str">
        <f t="shared" si="2"/>
        <v/>
      </c>
      <c r="M909" s="8" t="str">
        <f t="shared" si="7"/>
        <v/>
      </c>
      <c r="N909" s="3" t="str">
        <f t="shared" si="4"/>
        <v>GSTIN &amp; Invoice No not entered</v>
      </c>
      <c r="O909" s="9" t="str">
        <f t="shared" si="5"/>
        <v/>
      </c>
      <c r="P909" s="3" t="str">
        <f t="shared" si="6"/>
        <v/>
      </c>
      <c r="Q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 t="str">
        <f t="shared" si="2"/>
        <v/>
      </c>
      <c r="M910" s="8" t="str">
        <f t="shared" si="7"/>
        <v/>
      </c>
      <c r="N910" s="3" t="str">
        <f t="shared" si="4"/>
        <v>GSTIN &amp; Invoice No not entered</v>
      </c>
      <c r="O910" s="9" t="str">
        <f t="shared" si="5"/>
        <v/>
      </c>
      <c r="P910" s="3" t="str">
        <f t="shared" si="6"/>
        <v/>
      </c>
      <c r="Q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 t="str">
        <f t="shared" si="2"/>
        <v/>
      </c>
      <c r="M911" s="8" t="str">
        <f t="shared" si="7"/>
        <v/>
      </c>
      <c r="N911" s="3" t="str">
        <f t="shared" si="4"/>
        <v>GSTIN &amp; Invoice No not entered</v>
      </c>
      <c r="O911" s="9" t="str">
        <f t="shared" si="5"/>
        <v/>
      </c>
      <c r="P911" s="3" t="str">
        <f t="shared" si="6"/>
        <v/>
      </c>
      <c r="Q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 t="str">
        <f t="shared" si="2"/>
        <v/>
      </c>
      <c r="M912" s="8" t="str">
        <f t="shared" si="7"/>
        <v/>
      </c>
      <c r="N912" s="3" t="str">
        <f t="shared" si="4"/>
        <v>GSTIN &amp; Invoice No not entered</v>
      </c>
      <c r="O912" s="9" t="str">
        <f t="shared" si="5"/>
        <v/>
      </c>
      <c r="P912" s="3" t="str">
        <f t="shared" si="6"/>
        <v/>
      </c>
      <c r="Q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 t="str">
        <f t="shared" si="2"/>
        <v/>
      </c>
      <c r="M913" s="8" t="str">
        <f t="shared" si="7"/>
        <v/>
      </c>
      <c r="N913" s="3" t="str">
        <f t="shared" si="4"/>
        <v>GSTIN &amp; Invoice No not entered</v>
      </c>
      <c r="O913" s="9" t="str">
        <f t="shared" si="5"/>
        <v/>
      </c>
      <c r="P913" s="3" t="str">
        <f t="shared" si="6"/>
        <v/>
      </c>
      <c r="Q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 t="str">
        <f t="shared" si="2"/>
        <v/>
      </c>
      <c r="M914" s="8" t="str">
        <f t="shared" si="7"/>
        <v/>
      </c>
      <c r="N914" s="3" t="str">
        <f t="shared" si="4"/>
        <v>GSTIN &amp; Invoice No not entered</v>
      </c>
      <c r="O914" s="9" t="str">
        <f t="shared" si="5"/>
        <v/>
      </c>
      <c r="P914" s="3" t="str">
        <f t="shared" si="6"/>
        <v/>
      </c>
      <c r="Q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 t="str">
        <f t="shared" si="2"/>
        <v/>
      </c>
      <c r="M915" s="8" t="str">
        <f t="shared" si="7"/>
        <v/>
      </c>
      <c r="N915" s="3" t="str">
        <f t="shared" si="4"/>
        <v>GSTIN &amp; Invoice No not entered</v>
      </c>
      <c r="O915" s="9" t="str">
        <f t="shared" si="5"/>
        <v/>
      </c>
      <c r="P915" s="3" t="str">
        <f t="shared" si="6"/>
        <v/>
      </c>
      <c r="Q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 t="str">
        <f t="shared" si="2"/>
        <v/>
      </c>
      <c r="M916" s="8" t="str">
        <f t="shared" si="7"/>
        <v/>
      </c>
      <c r="N916" s="3" t="str">
        <f t="shared" si="4"/>
        <v>GSTIN &amp; Invoice No not entered</v>
      </c>
      <c r="O916" s="9" t="str">
        <f t="shared" si="5"/>
        <v/>
      </c>
      <c r="P916" s="3" t="str">
        <f t="shared" si="6"/>
        <v/>
      </c>
      <c r="Q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 t="str">
        <f t="shared" si="2"/>
        <v/>
      </c>
      <c r="M917" s="8" t="str">
        <f t="shared" si="7"/>
        <v/>
      </c>
      <c r="N917" s="3" t="str">
        <f t="shared" si="4"/>
        <v>GSTIN &amp; Invoice No not entered</v>
      </c>
      <c r="O917" s="9" t="str">
        <f t="shared" si="5"/>
        <v/>
      </c>
      <c r="P917" s="3" t="str">
        <f t="shared" si="6"/>
        <v/>
      </c>
      <c r="Q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 t="str">
        <f t="shared" si="2"/>
        <v/>
      </c>
      <c r="M918" s="8" t="str">
        <f t="shared" si="7"/>
        <v/>
      </c>
      <c r="N918" s="3" t="str">
        <f t="shared" si="4"/>
        <v>GSTIN &amp; Invoice No not entered</v>
      </c>
      <c r="O918" s="9" t="str">
        <f t="shared" si="5"/>
        <v/>
      </c>
      <c r="P918" s="3" t="str">
        <f t="shared" si="6"/>
        <v/>
      </c>
      <c r="Q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 t="str">
        <f t="shared" si="2"/>
        <v/>
      </c>
      <c r="M919" s="8" t="str">
        <f t="shared" si="7"/>
        <v/>
      </c>
      <c r="N919" s="3" t="str">
        <f t="shared" si="4"/>
        <v>GSTIN &amp; Invoice No not entered</v>
      </c>
      <c r="O919" s="9" t="str">
        <f t="shared" si="5"/>
        <v/>
      </c>
      <c r="P919" s="3" t="str">
        <f t="shared" si="6"/>
        <v/>
      </c>
      <c r="Q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 t="str">
        <f t="shared" si="2"/>
        <v/>
      </c>
      <c r="M920" s="8" t="str">
        <f t="shared" si="7"/>
        <v/>
      </c>
      <c r="N920" s="3" t="str">
        <f t="shared" si="4"/>
        <v>GSTIN &amp; Invoice No not entered</v>
      </c>
      <c r="O920" s="9" t="str">
        <f t="shared" si="5"/>
        <v/>
      </c>
      <c r="P920" s="3" t="str">
        <f t="shared" si="6"/>
        <v/>
      </c>
      <c r="Q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 t="str">
        <f t="shared" si="2"/>
        <v/>
      </c>
      <c r="M921" s="8" t="str">
        <f t="shared" si="7"/>
        <v/>
      </c>
      <c r="N921" s="3" t="str">
        <f t="shared" si="4"/>
        <v>GSTIN &amp; Invoice No not entered</v>
      </c>
      <c r="O921" s="9" t="str">
        <f t="shared" si="5"/>
        <v/>
      </c>
      <c r="P921" s="3" t="str">
        <f t="shared" si="6"/>
        <v/>
      </c>
      <c r="Q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 t="str">
        <f t="shared" si="2"/>
        <v/>
      </c>
      <c r="M922" s="8" t="str">
        <f t="shared" si="7"/>
        <v/>
      </c>
      <c r="N922" s="3" t="str">
        <f t="shared" si="4"/>
        <v>GSTIN &amp; Invoice No not entered</v>
      </c>
      <c r="O922" s="9" t="str">
        <f t="shared" si="5"/>
        <v/>
      </c>
      <c r="P922" s="3" t="str">
        <f t="shared" si="6"/>
        <v/>
      </c>
      <c r="Q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 t="str">
        <f t="shared" si="2"/>
        <v/>
      </c>
      <c r="M923" s="8" t="str">
        <f t="shared" si="7"/>
        <v/>
      </c>
      <c r="N923" s="3" t="str">
        <f t="shared" si="4"/>
        <v>GSTIN &amp; Invoice No not entered</v>
      </c>
      <c r="O923" s="9" t="str">
        <f t="shared" si="5"/>
        <v/>
      </c>
      <c r="P923" s="3" t="str">
        <f t="shared" si="6"/>
        <v/>
      </c>
      <c r="Q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 t="str">
        <f t="shared" si="2"/>
        <v/>
      </c>
      <c r="M924" s="8" t="str">
        <f t="shared" si="7"/>
        <v/>
      </c>
      <c r="N924" s="3" t="str">
        <f t="shared" si="4"/>
        <v>GSTIN &amp; Invoice No not entered</v>
      </c>
      <c r="O924" s="9" t="str">
        <f t="shared" si="5"/>
        <v/>
      </c>
      <c r="P924" s="3" t="str">
        <f t="shared" si="6"/>
        <v/>
      </c>
      <c r="Q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 t="str">
        <f t="shared" si="2"/>
        <v/>
      </c>
      <c r="M925" s="8" t="str">
        <f t="shared" si="7"/>
        <v/>
      </c>
      <c r="N925" s="3" t="str">
        <f t="shared" si="4"/>
        <v>GSTIN &amp; Invoice No not entered</v>
      </c>
      <c r="O925" s="9" t="str">
        <f t="shared" si="5"/>
        <v/>
      </c>
      <c r="P925" s="3" t="str">
        <f t="shared" si="6"/>
        <v/>
      </c>
      <c r="Q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 t="str">
        <f t="shared" si="2"/>
        <v/>
      </c>
      <c r="M926" s="8" t="str">
        <f t="shared" si="7"/>
        <v/>
      </c>
      <c r="N926" s="3" t="str">
        <f t="shared" si="4"/>
        <v>GSTIN &amp; Invoice No not entered</v>
      </c>
      <c r="O926" s="9" t="str">
        <f t="shared" si="5"/>
        <v/>
      </c>
      <c r="P926" s="3" t="str">
        <f t="shared" si="6"/>
        <v/>
      </c>
      <c r="Q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 t="str">
        <f t="shared" si="2"/>
        <v/>
      </c>
      <c r="M927" s="8" t="str">
        <f t="shared" si="7"/>
        <v/>
      </c>
      <c r="N927" s="3" t="str">
        <f t="shared" si="4"/>
        <v>GSTIN &amp; Invoice No not entered</v>
      </c>
      <c r="O927" s="9" t="str">
        <f t="shared" si="5"/>
        <v/>
      </c>
      <c r="P927" s="3" t="str">
        <f t="shared" si="6"/>
        <v/>
      </c>
      <c r="Q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 t="str">
        <f t="shared" si="2"/>
        <v/>
      </c>
      <c r="M928" s="8" t="str">
        <f t="shared" si="7"/>
        <v/>
      </c>
      <c r="N928" s="3" t="str">
        <f t="shared" si="4"/>
        <v>GSTIN &amp; Invoice No not entered</v>
      </c>
      <c r="O928" s="9" t="str">
        <f t="shared" si="5"/>
        <v/>
      </c>
      <c r="P928" s="3" t="str">
        <f t="shared" si="6"/>
        <v/>
      </c>
      <c r="Q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 t="str">
        <f t="shared" si="2"/>
        <v/>
      </c>
      <c r="M929" s="8" t="str">
        <f t="shared" si="7"/>
        <v/>
      </c>
      <c r="N929" s="3" t="str">
        <f t="shared" si="4"/>
        <v>GSTIN &amp; Invoice No not entered</v>
      </c>
      <c r="O929" s="9" t="str">
        <f t="shared" si="5"/>
        <v/>
      </c>
      <c r="P929" s="3" t="str">
        <f t="shared" si="6"/>
        <v/>
      </c>
      <c r="Q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 t="str">
        <f t="shared" si="2"/>
        <v/>
      </c>
      <c r="M930" s="8" t="str">
        <f t="shared" si="7"/>
        <v/>
      </c>
      <c r="N930" s="3" t="str">
        <f t="shared" si="4"/>
        <v>GSTIN &amp; Invoice No not entered</v>
      </c>
      <c r="O930" s="9" t="str">
        <f t="shared" si="5"/>
        <v/>
      </c>
      <c r="P930" s="3" t="str">
        <f t="shared" si="6"/>
        <v/>
      </c>
      <c r="Q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 t="str">
        <f t="shared" si="2"/>
        <v/>
      </c>
      <c r="M931" s="8" t="str">
        <f t="shared" si="7"/>
        <v/>
      </c>
      <c r="N931" s="3" t="str">
        <f t="shared" si="4"/>
        <v>GSTIN &amp; Invoice No not entered</v>
      </c>
      <c r="O931" s="9" t="str">
        <f t="shared" si="5"/>
        <v/>
      </c>
      <c r="P931" s="3" t="str">
        <f t="shared" si="6"/>
        <v/>
      </c>
      <c r="Q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 t="str">
        <f t="shared" si="2"/>
        <v/>
      </c>
      <c r="M932" s="8" t="str">
        <f t="shared" si="7"/>
        <v/>
      </c>
      <c r="N932" s="3" t="str">
        <f t="shared" si="4"/>
        <v>GSTIN &amp; Invoice No not entered</v>
      </c>
      <c r="O932" s="9" t="str">
        <f t="shared" si="5"/>
        <v/>
      </c>
      <c r="P932" s="3" t="str">
        <f t="shared" si="6"/>
        <v/>
      </c>
      <c r="Q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 t="str">
        <f t="shared" si="2"/>
        <v/>
      </c>
      <c r="M933" s="8" t="str">
        <f t="shared" si="7"/>
        <v/>
      </c>
      <c r="N933" s="3" t="str">
        <f t="shared" si="4"/>
        <v>GSTIN &amp; Invoice No not entered</v>
      </c>
      <c r="O933" s="9" t="str">
        <f t="shared" si="5"/>
        <v/>
      </c>
      <c r="P933" s="3" t="str">
        <f t="shared" si="6"/>
        <v/>
      </c>
      <c r="Q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 t="str">
        <f t="shared" si="2"/>
        <v/>
      </c>
      <c r="M934" s="8" t="str">
        <f t="shared" si="7"/>
        <v/>
      </c>
      <c r="N934" s="3" t="str">
        <f t="shared" si="4"/>
        <v>GSTIN &amp; Invoice No not entered</v>
      </c>
      <c r="O934" s="9" t="str">
        <f t="shared" si="5"/>
        <v/>
      </c>
      <c r="P934" s="3" t="str">
        <f t="shared" si="6"/>
        <v/>
      </c>
      <c r="Q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 t="str">
        <f t="shared" si="2"/>
        <v/>
      </c>
      <c r="M935" s="8" t="str">
        <f t="shared" si="7"/>
        <v/>
      </c>
      <c r="N935" s="3" t="str">
        <f t="shared" si="4"/>
        <v>GSTIN &amp; Invoice No not entered</v>
      </c>
      <c r="O935" s="9" t="str">
        <f t="shared" si="5"/>
        <v/>
      </c>
      <c r="P935" s="3" t="str">
        <f t="shared" si="6"/>
        <v/>
      </c>
      <c r="Q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 t="str">
        <f t="shared" si="2"/>
        <v/>
      </c>
      <c r="M936" s="8" t="str">
        <f t="shared" si="7"/>
        <v/>
      </c>
      <c r="N936" s="3" t="str">
        <f t="shared" si="4"/>
        <v>GSTIN &amp; Invoice No not entered</v>
      </c>
      <c r="O936" s="9" t="str">
        <f t="shared" si="5"/>
        <v/>
      </c>
      <c r="P936" s="3" t="str">
        <f t="shared" si="6"/>
        <v/>
      </c>
      <c r="Q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 t="str">
        <f t="shared" si="2"/>
        <v/>
      </c>
      <c r="M937" s="8" t="str">
        <f t="shared" si="7"/>
        <v/>
      </c>
      <c r="N937" s="3" t="str">
        <f t="shared" si="4"/>
        <v>GSTIN &amp; Invoice No not entered</v>
      </c>
      <c r="O937" s="9" t="str">
        <f t="shared" si="5"/>
        <v/>
      </c>
      <c r="P937" s="3" t="str">
        <f t="shared" si="6"/>
        <v/>
      </c>
      <c r="Q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 t="str">
        <f t="shared" si="2"/>
        <v/>
      </c>
      <c r="M938" s="8" t="str">
        <f t="shared" si="7"/>
        <v/>
      </c>
      <c r="N938" s="3" t="str">
        <f t="shared" si="4"/>
        <v>GSTIN &amp; Invoice No not entered</v>
      </c>
      <c r="O938" s="9" t="str">
        <f t="shared" si="5"/>
        <v/>
      </c>
      <c r="P938" s="3" t="str">
        <f t="shared" si="6"/>
        <v/>
      </c>
      <c r="Q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 t="str">
        <f t="shared" si="2"/>
        <v/>
      </c>
      <c r="M939" s="8" t="str">
        <f t="shared" si="7"/>
        <v/>
      </c>
      <c r="N939" s="3" t="str">
        <f t="shared" si="4"/>
        <v>GSTIN &amp; Invoice No not entered</v>
      </c>
      <c r="O939" s="9" t="str">
        <f t="shared" si="5"/>
        <v/>
      </c>
      <c r="P939" s="3" t="str">
        <f t="shared" si="6"/>
        <v/>
      </c>
      <c r="Q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 t="str">
        <f t="shared" si="2"/>
        <v/>
      </c>
      <c r="M940" s="8" t="str">
        <f t="shared" si="7"/>
        <v/>
      </c>
      <c r="N940" s="3" t="str">
        <f t="shared" si="4"/>
        <v>GSTIN &amp; Invoice No not entered</v>
      </c>
      <c r="O940" s="9" t="str">
        <f t="shared" si="5"/>
        <v/>
      </c>
      <c r="P940" s="3" t="str">
        <f t="shared" si="6"/>
        <v/>
      </c>
      <c r="Q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 t="str">
        <f t="shared" si="2"/>
        <v/>
      </c>
      <c r="M941" s="8" t="str">
        <f t="shared" si="7"/>
        <v/>
      </c>
      <c r="N941" s="3" t="str">
        <f t="shared" si="4"/>
        <v>GSTIN &amp; Invoice No not entered</v>
      </c>
      <c r="O941" s="9" t="str">
        <f t="shared" si="5"/>
        <v/>
      </c>
      <c r="P941" s="3" t="str">
        <f t="shared" si="6"/>
        <v/>
      </c>
      <c r="Q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 t="str">
        <f t="shared" si="2"/>
        <v/>
      </c>
      <c r="M942" s="8" t="str">
        <f t="shared" si="7"/>
        <v/>
      </c>
      <c r="N942" s="3" t="str">
        <f t="shared" si="4"/>
        <v>GSTIN &amp; Invoice No not entered</v>
      </c>
      <c r="O942" s="9" t="str">
        <f t="shared" si="5"/>
        <v/>
      </c>
      <c r="P942" s="3" t="str">
        <f t="shared" si="6"/>
        <v/>
      </c>
      <c r="Q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 t="str">
        <f t="shared" si="2"/>
        <v/>
      </c>
      <c r="M943" s="8" t="str">
        <f t="shared" si="7"/>
        <v/>
      </c>
      <c r="N943" s="3" t="str">
        <f t="shared" si="4"/>
        <v>GSTIN &amp; Invoice No not entered</v>
      </c>
      <c r="O943" s="9" t="str">
        <f t="shared" si="5"/>
        <v/>
      </c>
      <c r="P943" s="3" t="str">
        <f t="shared" si="6"/>
        <v/>
      </c>
      <c r="Q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 t="str">
        <f t="shared" si="2"/>
        <v/>
      </c>
      <c r="M944" s="8" t="str">
        <f t="shared" si="7"/>
        <v/>
      </c>
      <c r="N944" s="3" t="str">
        <f t="shared" si="4"/>
        <v>GSTIN &amp; Invoice No not entered</v>
      </c>
      <c r="O944" s="9" t="str">
        <f t="shared" si="5"/>
        <v/>
      </c>
      <c r="P944" s="3" t="str">
        <f t="shared" si="6"/>
        <v/>
      </c>
      <c r="Q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 t="str">
        <f t="shared" si="2"/>
        <v/>
      </c>
      <c r="M945" s="8" t="str">
        <f t="shared" si="7"/>
        <v/>
      </c>
      <c r="N945" s="3" t="str">
        <f t="shared" si="4"/>
        <v>GSTIN &amp; Invoice No not entered</v>
      </c>
      <c r="O945" s="9" t="str">
        <f t="shared" si="5"/>
        <v/>
      </c>
      <c r="P945" s="3" t="str">
        <f t="shared" si="6"/>
        <v/>
      </c>
      <c r="Q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 t="str">
        <f t="shared" si="2"/>
        <v/>
      </c>
      <c r="M946" s="8" t="str">
        <f t="shared" si="7"/>
        <v/>
      </c>
      <c r="N946" s="3" t="str">
        <f t="shared" si="4"/>
        <v>GSTIN &amp; Invoice No not entered</v>
      </c>
      <c r="O946" s="9" t="str">
        <f t="shared" si="5"/>
        <v/>
      </c>
      <c r="P946" s="3" t="str">
        <f t="shared" si="6"/>
        <v/>
      </c>
      <c r="Q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 t="str">
        <f t="shared" si="2"/>
        <v/>
      </c>
      <c r="M947" s="8" t="str">
        <f t="shared" si="7"/>
        <v/>
      </c>
      <c r="N947" s="3" t="str">
        <f t="shared" si="4"/>
        <v>GSTIN &amp; Invoice No not entered</v>
      </c>
      <c r="O947" s="9" t="str">
        <f t="shared" si="5"/>
        <v/>
      </c>
      <c r="P947" s="3" t="str">
        <f t="shared" si="6"/>
        <v/>
      </c>
      <c r="Q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 t="str">
        <f t="shared" si="2"/>
        <v/>
      </c>
      <c r="M948" s="8" t="str">
        <f t="shared" si="7"/>
        <v/>
      </c>
      <c r="N948" s="3" t="str">
        <f t="shared" si="4"/>
        <v>GSTIN &amp; Invoice No not entered</v>
      </c>
      <c r="O948" s="9" t="str">
        <f t="shared" si="5"/>
        <v/>
      </c>
      <c r="P948" s="3" t="str">
        <f t="shared" si="6"/>
        <v/>
      </c>
      <c r="Q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 t="str">
        <f t="shared" si="2"/>
        <v/>
      </c>
      <c r="M949" s="8" t="str">
        <f t="shared" si="7"/>
        <v/>
      </c>
      <c r="N949" s="3" t="str">
        <f t="shared" si="4"/>
        <v>GSTIN &amp; Invoice No not entered</v>
      </c>
      <c r="O949" s="9" t="str">
        <f t="shared" si="5"/>
        <v/>
      </c>
      <c r="P949" s="3" t="str">
        <f t="shared" si="6"/>
        <v/>
      </c>
      <c r="Q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 t="str">
        <f t="shared" si="2"/>
        <v/>
      </c>
      <c r="M950" s="8" t="str">
        <f t="shared" si="7"/>
        <v/>
      </c>
      <c r="N950" s="3" t="str">
        <f t="shared" si="4"/>
        <v>GSTIN &amp; Invoice No not entered</v>
      </c>
      <c r="O950" s="9" t="str">
        <f t="shared" si="5"/>
        <v/>
      </c>
      <c r="P950" s="3" t="str">
        <f t="shared" si="6"/>
        <v/>
      </c>
      <c r="Q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 t="str">
        <f t="shared" si="2"/>
        <v/>
      </c>
      <c r="M951" s="8" t="str">
        <f t="shared" si="7"/>
        <v/>
      </c>
      <c r="N951" s="3" t="str">
        <f t="shared" si="4"/>
        <v>GSTIN &amp; Invoice No not entered</v>
      </c>
      <c r="O951" s="9" t="str">
        <f t="shared" si="5"/>
        <v/>
      </c>
      <c r="P951" s="3" t="str">
        <f t="shared" si="6"/>
        <v/>
      </c>
      <c r="Q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 t="str">
        <f t="shared" si="2"/>
        <v/>
      </c>
      <c r="M952" s="8" t="str">
        <f t="shared" si="7"/>
        <v/>
      </c>
      <c r="N952" s="3" t="str">
        <f t="shared" si="4"/>
        <v>GSTIN &amp; Invoice No not entered</v>
      </c>
      <c r="O952" s="9" t="str">
        <f t="shared" si="5"/>
        <v/>
      </c>
      <c r="P952" s="3" t="str">
        <f t="shared" si="6"/>
        <v/>
      </c>
      <c r="Q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 t="str">
        <f t="shared" si="2"/>
        <v/>
      </c>
      <c r="M953" s="8" t="str">
        <f t="shared" si="7"/>
        <v/>
      </c>
      <c r="N953" s="3" t="str">
        <f t="shared" si="4"/>
        <v>GSTIN &amp; Invoice No not entered</v>
      </c>
      <c r="O953" s="9" t="str">
        <f t="shared" si="5"/>
        <v/>
      </c>
      <c r="P953" s="3" t="str">
        <f t="shared" si="6"/>
        <v/>
      </c>
      <c r="Q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 t="str">
        <f t="shared" si="2"/>
        <v/>
      </c>
      <c r="M954" s="8" t="str">
        <f t="shared" si="7"/>
        <v/>
      </c>
      <c r="N954" s="3" t="str">
        <f t="shared" si="4"/>
        <v>GSTIN &amp; Invoice No not entered</v>
      </c>
      <c r="O954" s="9" t="str">
        <f t="shared" si="5"/>
        <v/>
      </c>
      <c r="P954" s="3" t="str">
        <f t="shared" si="6"/>
        <v/>
      </c>
      <c r="Q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 t="str">
        <f t="shared" si="2"/>
        <v/>
      </c>
      <c r="M955" s="8" t="str">
        <f t="shared" si="7"/>
        <v/>
      </c>
      <c r="N955" s="3" t="str">
        <f t="shared" si="4"/>
        <v>GSTIN &amp; Invoice No not entered</v>
      </c>
      <c r="O955" s="9" t="str">
        <f t="shared" si="5"/>
        <v/>
      </c>
      <c r="P955" s="3" t="str">
        <f t="shared" si="6"/>
        <v/>
      </c>
      <c r="Q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 t="str">
        <f t="shared" si="2"/>
        <v/>
      </c>
      <c r="M956" s="8" t="str">
        <f t="shared" si="7"/>
        <v/>
      </c>
      <c r="N956" s="3" t="str">
        <f t="shared" si="4"/>
        <v>GSTIN &amp; Invoice No not entered</v>
      </c>
      <c r="O956" s="9" t="str">
        <f t="shared" si="5"/>
        <v/>
      </c>
      <c r="P956" s="3" t="str">
        <f t="shared" si="6"/>
        <v/>
      </c>
      <c r="Q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 t="str">
        <f t="shared" si="2"/>
        <v/>
      </c>
      <c r="M957" s="8" t="str">
        <f t="shared" si="7"/>
        <v/>
      </c>
      <c r="N957" s="3" t="str">
        <f t="shared" si="4"/>
        <v>GSTIN &amp; Invoice No not entered</v>
      </c>
      <c r="O957" s="9" t="str">
        <f t="shared" si="5"/>
        <v/>
      </c>
      <c r="P957" s="3" t="str">
        <f t="shared" si="6"/>
        <v/>
      </c>
      <c r="Q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 t="str">
        <f t="shared" si="2"/>
        <v/>
      </c>
      <c r="M958" s="8" t="str">
        <f t="shared" si="7"/>
        <v/>
      </c>
      <c r="N958" s="3" t="str">
        <f t="shared" si="4"/>
        <v>GSTIN &amp; Invoice No not entered</v>
      </c>
      <c r="O958" s="9" t="str">
        <f t="shared" si="5"/>
        <v/>
      </c>
      <c r="P958" s="3" t="str">
        <f t="shared" si="6"/>
        <v/>
      </c>
      <c r="Q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 t="str">
        <f t="shared" si="2"/>
        <v/>
      </c>
      <c r="M959" s="8" t="str">
        <f t="shared" si="7"/>
        <v/>
      </c>
      <c r="N959" s="3" t="str">
        <f t="shared" si="4"/>
        <v>GSTIN &amp; Invoice No not entered</v>
      </c>
      <c r="O959" s="9" t="str">
        <f t="shared" si="5"/>
        <v/>
      </c>
      <c r="P959" s="3" t="str">
        <f t="shared" si="6"/>
        <v/>
      </c>
      <c r="Q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 t="str">
        <f t="shared" si="2"/>
        <v/>
      </c>
      <c r="M960" s="8" t="str">
        <f t="shared" si="7"/>
        <v/>
      </c>
      <c r="N960" s="3" t="str">
        <f t="shared" si="4"/>
        <v>GSTIN &amp; Invoice No not entered</v>
      </c>
      <c r="O960" s="9" t="str">
        <f t="shared" si="5"/>
        <v/>
      </c>
      <c r="P960" s="3" t="str">
        <f t="shared" si="6"/>
        <v/>
      </c>
      <c r="Q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 t="str">
        <f t="shared" si="2"/>
        <v/>
      </c>
      <c r="M961" s="8" t="str">
        <f t="shared" si="7"/>
        <v/>
      </c>
      <c r="N961" s="3" t="str">
        <f t="shared" si="4"/>
        <v>GSTIN &amp; Invoice No not entered</v>
      </c>
      <c r="O961" s="9" t="str">
        <f t="shared" si="5"/>
        <v/>
      </c>
      <c r="P961" s="3" t="str">
        <f t="shared" si="6"/>
        <v/>
      </c>
      <c r="Q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 t="str">
        <f t="shared" si="2"/>
        <v/>
      </c>
      <c r="M962" s="8" t="str">
        <f t="shared" si="7"/>
        <v/>
      </c>
      <c r="N962" s="3" t="str">
        <f t="shared" si="4"/>
        <v>GSTIN &amp; Invoice No not entered</v>
      </c>
      <c r="O962" s="9" t="str">
        <f t="shared" si="5"/>
        <v/>
      </c>
      <c r="P962" s="3" t="str">
        <f t="shared" si="6"/>
        <v/>
      </c>
      <c r="Q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 t="str">
        <f t="shared" si="2"/>
        <v/>
      </c>
      <c r="M963" s="8" t="str">
        <f t="shared" si="7"/>
        <v/>
      </c>
      <c r="N963" s="3" t="str">
        <f t="shared" si="4"/>
        <v>GSTIN &amp; Invoice No not entered</v>
      </c>
      <c r="O963" s="9" t="str">
        <f t="shared" si="5"/>
        <v/>
      </c>
      <c r="P963" s="3" t="str">
        <f t="shared" si="6"/>
        <v/>
      </c>
      <c r="Q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 t="str">
        <f t="shared" si="2"/>
        <v/>
      </c>
      <c r="M964" s="8" t="str">
        <f t="shared" si="7"/>
        <v/>
      </c>
      <c r="N964" s="3" t="str">
        <f t="shared" si="4"/>
        <v>GSTIN &amp; Invoice No not entered</v>
      </c>
      <c r="O964" s="9" t="str">
        <f t="shared" si="5"/>
        <v/>
      </c>
      <c r="P964" s="3" t="str">
        <f t="shared" si="6"/>
        <v/>
      </c>
      <c r="Q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 t="str">
        <f t="shared" si="2"/>
        <v/>
      </c>
      <c r="M965" s="8" t="str">
        <f t="shared" si="7"/>
        <v/>
      </c>
      <c r="N965" s="3" t="str">
        <f t="shared" si="4"/>
        <v>GSTIN &amp; Invoice No not entered</v>
      </c>
      <c r="O965" s="9" t="str">
        <f t="shared" si="5"/>
        <v/>
      </c>
      <c r="P965" s="3" t="str">
        <f t="shared" si="6"/>
        <v/>
      </c>
      <c r="Q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 t="str">
        <f t="shared" si="2"/>
        <v/>
      </c>
      <c r="M966" s="8" t="str">
        <f t="shared" si="7"/>
        <v/>
      </c>
      <c r="N966" s="3" t="str">
        <f t="shared" si="4"/>
        <v>GSTIN &amp; Invoice No not entered</v>
      </c>
      <c r="O966" s="9" t="str">
        <f t="shared" si="5"/>
        <v/>
      </c>
      <c r="P966" s="3" t="str">
        <f t="shared" si="6"/>
        <v/>
      </c>
      <c r="Q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 t="str">
        <f t="shared" si="2"/>
        <v/>
      </c>
      <c r="M967" s="8" t="str">
        <f t="shared" si="7"/>
        <v/>
      </c>
      <c r="N967" s="3" t="str">
        <f t="shared" si="4"/>
        <v>GSTIN &amp; Invoice No not entered</v>
      </c>
      <c r="O967" s="9" t="str">
        <f t="shared" si="5"/>
        <v/>
      </c>
      <c r="P967" s="3" t="str">
        <f t="shared" si="6"/>
        <v/>
      </c>
      <c r="Q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 t="str">
        <f t="shared" si="2"/>
        <v/>
      </c>
      <c r="M968" s="8" t="str">
        <f t="shared" si="7"/>
        <v/>
      </c>
      <c r="N968" s="3" t="str">
        <f t="shared" si="4"/>
        <v>GSTIN &amp; Invoice No not entered</v>
      </c>
      <c r="O968" s="9" t="str">
        <f t="shared" si="5"/>
        <v/>
      </c>
      <c r="P968" s="3" t="str">
        <f t="shared" si="6"/>
        <v/>
      </c>
      <c r="Q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 t="str">
        <f t="shared" si="2"/>
        <v/>
      </c>
      <c r="M969" s="8" t="str">
        <f t="shared" si="7"/>
        <v/>
      </c>
      <c r="N969" s="3" t="str">
        <f t="shared" si="4"/>
        <v>GSTIN &amp; Invoice No not entered</v>
      </c>
      <c r="O969" s="9" t="str">
        <f t="shared" si="5"/>
        <v/>
      </c>
      <c r="P969" s="3" t="str">
        <f t="shared" si="6"/>
        <v/>
      </c>
      <c r="Q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 t="str">
        <f t="shared" si="2"/>
        <v/>
      </c>
      <c r="M970" s="8" t="str">
        <f t="shared" si="7"/>
        <v/>
      </c>
      <c r="N970" s="3" t="str">
        <f t="shared" si="4"/>
        <v>GSTIN &amp; Invoice No not entered</v>
      </c>
      <c r="O970" s="9" t="str">
        <f t="shared" si="5"/>
        <v/>
      </c>
      <c r="P970" s="3" t="str">
        <f t="shared" si="6"/>
        <v/>
      </c>
      <c r="Q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 t="str">
        <f t="shared" si="2"/>
        <v/>
      </c>
      <c r="M971" s="8" t="str">
        <f t="shared" si="7"/>
        <v/>
      </c>
      <c r="N971" s="3" t="str">
        <f t="shared" si="4"/>
        <v>GSTIN &amp; Invoice No not entered</v>
      </c>
      <c r="O971" s="9" t="str">
        <f t="shared" si="5"/>
        <v/>
      </c>
      <c r="P971" s="3" t="str">
        <f t="shared" si="6"/>
        <v/>
      </c>
      <c r="Q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 t="str">
        <f t="shared" si="2"/>
        <v/>
      </c>
      <c r="M972" s="8" t="str">
        <f t="shared" si="7"/>
        <v/>
      </c>
      <c r="N972" s="3" t="str">
        <f t="shared" si="4"/>
        <v>GSTIN &amp; Invoice No not entered</v>
      </c>
      <c r="O972" s="9" t="str">
        <f t="shared" si="5"/>
        <v/>
      </c>
      <c r="P972" s="3" t="str">
        <f t="shared" si="6"/>
        <v/>
      </c>
      <c r="Q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 t="str">
        <f t="shared" si="2"/>
        <v/>
      </c>
      <c r="M973" s="8" t="str">
        <f t="shared" si="7"/>
        <v/>
      </c>
      <c r="N973" s="3" t="str">
        <f t="shared" si="4"/>
        <v>GSTIN &amp; Invoice No not entered</v>
      </c>
      <c r="O973" s="9" t="str">
        <f t="shared" si="5"/>
        <v/>
      </c>
      <c r="P973" s="3" t="str">
        <f t="shared" si="6"/>
        <v/>
      </c>
      <c r="Q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 t="str">
        <f t="shared" si="2"/>
        <v/>
      </c>
      <c r="M974" s="8" t="str">
        <f t="shared" si="7"/>
        <v/>
      </c>
      <c r="N974" s="3" t="str">
        <f t="shared" si="4"/>
        <v>GSTIN &amp; Invoice No not entered</v>
      </c>
      <c r="O974" s="9" t="str">
        <f t="shared" si="5"/>
        <v/>
      </c>
      <c r="P974" s="3" t="str">
        <f t="shared" si="6"/>
        <v/>
      </c>
      <c r="Q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 t="str">
        <f t="shared" si="2"/>
        <v/>
      </c>
      <c r="M975" s="8" t="str">
        <f t="shared" si="7"/>
        <v/>
      </c>
      <c r="N975" s="3" t="str">
        <f t="shared" si="4"/>
        <v>GSTIN &amp; Invoice No not entered</v>
      </c>
      <c r="O975" s="9" t="str">
        <f t="shared" si="5"/>
        <v/>
      </c>
      <c r="P975" s="3" t="str">
        <f t="shared" si="6"/>
        <v/>
      </c>
      <c r="Q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 t="str">
        <f t="shared" si="2"/>
        <v/>
      </c>
      <c r="M976" s="8" t="str">
        <f t="shared" si="7"/>
        <v/>
      </c>
      <c r="N976" s="3" t="str">
        <f t="shared" si="4"/>
        <v>GSTIN &amp; Invoice No not entered</v>
      </c>
      <c r="O976" s="9" t="str">
        <f t="shared" si="5"/>
        <v/>
      </c>
      <c r="P976" s="3" t="str">
        <f t="shared" si="6"/>
        <v/>
      </c>
      <c r="Q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 t="str">
        <f t="shared" si="2"/>
        <v/>
      </c>
      <c r="M977" s="8" t="str">
        <f t="shared" si="7"/>
        <v/>
      </c>
      <c r="N977" s="3" t="str">
        <f t="shared" si="4"/>
        <v>GSTIN &amp; Invoice No not entered</v>
      </c>
      <c r="O977" s="9" t="str">
        <f t="shared" si="5"/>
        <v/>
      </c>
      <c r="P977" s="3" t="str">
        <f t="shared" si="6"/>
        <v/>
      </c>
      <c r="Q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 t="str">
        <f t="shared" si="2"/>
        <v/>
      </c>
      <c r="M978" s="8" t="str">
        <f t="shared" si="7"/>
        <v/>
      </c>
      <c r="N978" s="3" t="str">
        <f t="shared" si="4"/>
        <v>GSTIN &amp; Invoice No not entered</v>
      </c>
      <c r="O978" s="9" t="str">
        <f t="shared" si="5"/>
        <v/>
      </c>
      <c r="P978" s="3" t="str">
        <f t="shared" si="6"/>
        <v/>
      </c>
      <c r="Q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 t="str">
        <f t="shared" si="2"/>
        <v/>
      </c>
      <c r="M979" s="8" t="str">
        <f t="shared" si="7"/>
        <v/>
      </c>
      <c r="N979" s="3" t="str">
        <f t="shared" si="4"/>
        <v>GSTIN &amp; Invoice No not entered</v>
      </c>
      <c r="O979" s="9" t="str">
        <f t="shared" si="5"/>
        <v/>
      </c>
      <c r="P979" s="3" t="str">
        <f t="shared" si="6"/>
        <v/>
      </c>
      <c r="Q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 t="str">
        <f t="shared" si="2"/>
        <v/>
      </c>
      <c r="M980" s="8" t="str">
        <f t="shared" si="7"/>
        <v/>
      </c>
      <c r="N980" s="3" t="str">
        <f t="shared" si="4"/>
        <v>GSTIN &amp; Invoice No not entered</v>
      </c>
      <c r="O980" s="9" t="str">
        <f t="shared" si="5"/>
        <v/>
      </c>
      <c r="P980" s="3" t="str">
        <f t="shared" si="6"/>
        <v/>
      </c>
      <c r="Q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 t="str">
        <f t="shared" si="2"/>
        <v/>
      </c>
      <c r="M981" s="8" t="str">
        <f t="shared" si="7"/>
        <v/>
      </c>
      <c r="N981" s="3" t="str">
        <f t="shared" si="4"/>
        <v>GSTIN &amp; Invoice No not entered</v>
      </c>
      <c r="O981" s="9" t="str">
        <f t="shared" si="5"/>
        <v/>
      </c>
      <c r="P981" s="3" t="str">
        <f t="shared" si="6"/>
        <v/>
      </c>
      <c r="Q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 t="str">
        <f t="shared" si="2"/>
        <v/>
      </c>
      <c r="M982" s="8" t="str">
        <f t="shared" si="7"/>
        <v/>
      </c>
      <c r="N982" s="3" t="str">
        <f t="shared" si="4"/>
        <v>GSTIN &amp; Invoice No not entered</v>
      </c>
      <c r="O982" s="9" t="str">
        <f t="shared" si="5"/>
        <v/>
      </c>
      <c r="P982" s="3" t="str">
        <f t="shared" si="6"/>
        <v/>
      </c>
      <c r="Q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 t="str">
        <f t="shared" si="2"/>
        <v/>
      </c>
      <c r="M983" s="8" t="str">
        <f t="shared" si="7"/>
        <v/>
      </c>
      <c r="N983" s="3" t="str">
        <f t="shared" si="4"/>
        <v>GSTIN &amp; Invoice No not entered</v>
      </c>
      <c r="O983" s="9" t="str">
        <f t="shared" si="5"/>
        <v/>
      </c>
      <c r="P983" s="3" t="str">
        <f t="shared" si="6"/>
        <v/>
      </c>
      <c r="Q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 t="str">
        <f t="shared" si="2"/>
        <v/>
      </c>
      <c r="M984" s="8" t="str">
        <f t="shared" si="7"/>
        <v/>
      </c>
      <c r="N984" s="3" t="str">
        <f t="shared" si="4"/>
        <v>GSTIN &amp; Invoice No not entered</v>
      </c>
      <c r="O984" s="9" t="str">
        <f t="shared" si="5"/>
        <v/>
      </c>
      <c r="P984" s="3" t="str">
        <f t="shared" si="6"/>
        <v/>
      </c>
      <c r="Q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 t="str">
        <f t="shared" si="2"/>
        <v/>
      </c>
      <c r="M985" s="8" t="str">
        <f t="shared" si="7"/>
        <v/>
      </c>
      <c r="N985" s="3" t="str">
        <f t="shared" si="4"/>
        <v>GSTIN &amp; Invoice No not entered</v>
      </c>
      <c r="O985" s="9" t="str">
        <f t="shared" si="5"/>
        <v/>
      </c>
      <c r="P985" s="3" t="str">
        <f t="shared" si="6"/>
        <v/>
      </c>
      <c r="Q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 t="str">
        <f t="shared" si="2"/>
        <v/>
      </c>
      <c r="M986" s="8" t="str">
        <f t="shared" si="7"/>
        <v/>
      </c>
      <c r="N986" s="3" t="str">
        <f t="shared" si="4"/>
        <v>GSTIN &amp; Invoice No not entered</v>
      </c>
      <c r="O986" s="9" t="str">
        <f t="shared" si="5"/>
        <v/>
      </c>
      <c r="P986" s="3" t="str">
        <f t="shared" si="6"/>
        <v/>
      </c>
      <c r="Q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 t="str">
        <f t="shared" si="2"/>
        <v/>
      </c>
      <c r="M987" s="8" t="str">
        <f t="shared" si="7"/>
        <v/>
      </c>
      <c r="N987" s="3" t="str">
        <f t="shared" si="4"/>
        <v>GSTIN &amp; Invoice No not entered</v>
      </c>
      <c r="O987" s="9" t="str">
        <f t="shared" si="5"/>
        <v/>
      </c>
      <c r="P987" s="3" t="str">
        <f t="shared" si="6"/>
        <v/>
      </c>
      <c r="Q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 t="str">
        <f t="shared" si="2"/>
        <v/>
      </c>
      <c r="M988" s="8" t="str">
        <f t="shared" si="7"/>
        <v/>
      </c>
      <c r="N988" s="3" t="str">
        <f t="shared" si="4"/>
        <v>GSTIN &amp; Invoice No not entered</v>
      </c>
      <c r="O988" s="9" t="str">
        <f t="shared" si="5"/>
        <v/>
      </c>
      <c r="P988" s="3" t="str">
        <f t="shared" si="6"/>
        <v/>
      </c>
      <c r="Q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 t="str">
        <f t="shared" si="2"/>
        <v/>
      </c>
      <c r="M989" s="8" t="str">
        <f t="shared" si="7"/>
        <v/>
      </c>
      <c r="N989" s="3" t="str">
        <f t="shared" si="4"/>
        <v>GSTIN &amp; Invoice No not entered</v>
      </c>
      <c r="O989" s="9" t="str">
        <f t="shared" si="5"/>
        <v/>
      </c>
      <c r="P989" s="3" t="str">
        <f t="shared" si="6"/>
        <v/>
      </c>
      <c r="Q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 t="str">
        <f t="shared" si="2"/>
        <v/>
      </c>
      <c r="M990" s="8" t="str">
        <f t="shared" si="7"/>
        <v/>
      </c>
      <c r="N990" s="3" t="str">
        <f t="shared" si="4"/>
        <v>GSTIN &amp; Invoice No not entered</v>
      </c>
      <c r="O990" s="9" t="str">
        <f t="shared" si="5"/>
        <v/>
      </c>
      <c r="P990" s="3" t="str">
        <f t="shared" si="6"/>
        <v/>
      </c>
      <c r="Q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 t="str">
        <f t="shared" si="2"/>
        <v/>
      </c>
      <c r="M991" s="8" t="str">
        <f t="shared" si="7"/>
        <v/>
      </c>
      <c r="N991" s="3" t="str">
        <f t="shared" si="4"/>
        <v>GSTIN &amp; Invoice No not entered</v>
      </c>
      <c r="O991" s="9" t="str">
        <f t="shared" si="5"/>
        <v/>
      </c>
      <c r="P991" s="3" t="str">
        <f t="shared" si="6"/>
        <v/>
      </c>
      <c r="Q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 t="str">
        <f t="shared" si="2"/>
        <v/>
      </c>
      <c r="M992" s="8" t="str">
        <f t="shared" si="7"/>
        <v/>
      </c>
      <c r="N992" s="3" t="str">
        <f t="shared" si="4"/>
        <v>GSTIN &amp; Invoice No not entered</v>
      </c>
      <c r="O992" s="9" t="str">
        <f t="shared" si="5"/>
        <v/>
      </c>
      <c r="P992" s="3" t="str">
        <f t="shared" si="6"/>
        <v/>
      </c>
      <c r="Q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 t="str">
        <f t="shared" si="2"/>
        <v/>
      </c>
      <c r="M993" s="8" t="str">
        <f t="shared" si="7"/>
        <v/>
      </c>
      <c r="N993" s="3" t="str">
        <f t="shared" si="4"/>
        <v>GSTIN &amp; Invoice No not entered</v>
      </c>
      <c r="O993" s="9" t="str">
        <f t="shared" si="5"/>
        <v/>
      </c>
      <c r="P993" s="3" t="str">
        <f t="shared" si="6"/>
        <v/>
      </c>
      <c r="Q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 t="str">
        <f t="shared" si="2"/>
        <v/>
      </c>
      <c r="M994" s="8" t="str">
        <f t="shared" si="7"/>
        <v/>
      </c>
      <c r="N994" s="3" t="str">
        <f t="shared" si="4"/>
        <v>GSTIN &amp; Invoice No not entered</v>
      </c>
      <c r="O994" s="9" t="str">
        <f t="shared" si="5"/>
        <v/>
      </c>
      <c r="P994" s="3" t="str">
        <f t="shared" si="6"/>
        <v/>
      </c>
      <c r="Q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 t="str">
        <f t="shared" si="2"/>
        <v/>
      </c>
      <c r="M995" s="8" t="str">
        <f t="shared" si="7"/>
        <v/>
      </c>
      <c r="N995" s="3" t="str">
        <f t="shared" si="4"/>
        <v>GSTIN &amp; Invoice No not entered</v>
      </c>
      <c r="O995" s="9" t="str">
        <f t="shared" si="5"/>
        <v/>
      </c>
      <c r="P995" s="3" t="str">
        <f t="shared" si="6"/>
        <v/>
      </c>
      <c r="Q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 t="str">
        <f t="shared" si="2"/>
        <v/>
      </c>
      <c r="M996" s="8" t="str">
        <f t="shared" si="7"/>
        <v/>
      </c>
      <c r="N996" s="3" t="str">
        <f t="shared" si="4"/>
        <v>GSTIN &amp; Invoice No not entered</v>
      </c>
      <c r="O996" s="9" t="str">
        <f t="shared" si="5"/>
        <v/>
      </c>
      <c r="P996" s="3" t="str">
        <f t="shared" si="6"/>
        <v/>
      </c>
      <c r="Q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 t="str">
        <f t="shared" si="2"/>
        <v/>
      </c>
      <c r="M997" s="8" t="str">
        <f t="shared" si="7"/>
        <v/>
      </c>
      <c r="N997" s="3" t="str">
        <f t="shared" si="4"/>
        <v>GSTIN &amp; Invoice No not entered</v>
      </c>
      <c r="O997" s="9" t="str">
        <f t="shared" si="5"/>
        <v/>
      </c>
      <c r="P997" s="3" t="str">
        <f t="shared" si="6"/>
        <v/>
      </c>
      <c r="Q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 t="str">
        <f t="shared" si="2"/>
        <v/>
      </c>
      <c r="M998" s="8" t="str">
        <f t="shared" si="7"/>
        <v/>
      </c>
      <c r="N998" s="3" t="str">
        <f t="shared" si="4"/>
        <v>GSTIN &amp; Invoice No not entered</v>
      </c>
      <c r="O998" s="9" t="str">
        <f t="shared" si="5"/>
        <v/>
      </c>
      <c r="P998" s="3" t="str">
        <f t="shared" si="6"/>
        <v/>
      </c>
      <c r="Q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 t="str">
        <f t="shared" si="2"/>
        <v/>
      </c>
      <c r="M999" s="8" t="str">
        <f t="shared" si="7"/>
        <v/>
      </c>
      <c r="N999" s="3" t="str">
        <f t="shared" si="4"/>
        <v>GSTIN &amp; Invoice No not entered</v>
      </c>
      <c r="O999" s="9" t="str">
        <f t="shared" si="5"/>
        <v/>
      </c>
      <c r="P999" s="3" t="str">
        <f t="shared" si="6"/>
        <v/>
      </c>
      <c r="Q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 t="str">
        <f t="shared" si="2"/>
        <v/>
      </c>
      <c r="M1000" s="8" t="str">
        <f t="shared" si="7"/>
        <v/>
      </c>
      <c r="N1000" s="3" t="str">
        <f t="shared" si="4"/>
        <v>GSTIN &amp; Invoice No not entered</v>
      </c>
      <c r="O1000" s="9" t="str">
        <f t="shared" si="5"/>
        <v/>
      </c>
      <c r="P1000" s="3" t="str">
        <f t="shared" si="6"/>
        <v/>
      </c>
      <c r="Q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 t="str">
        <f t="shared" si="2"/>
        <v/>
      </c>
      <c r="M1001" s="8" t="str">
        <f t="shared" si="7"/>
        <v/>
      </c>
      <c r="N1001" s="3" t="str">
        <f t="shared" si="4"/>
        <v>GSTIN &amp; Invoice No not entered</v>
      </c>
      <c r="O1001" s="9" t="str">
        <f t="shared" si="5"/>
        <v/>
      </c>
      <c r="P1001" s="3" t="str">
        <f t="shared" si="6"/>
        <v/>
      </c>
      <c r="Q1001" s="3"/>
    </row>
  </sheetData>
  <autoFilter ref="$A$1:$P$100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2025-08-15T06:36:26Z</dcterms:created>
  <dc:creator>Accounts</dc:creator>
</cp:coreProperties>
</file>